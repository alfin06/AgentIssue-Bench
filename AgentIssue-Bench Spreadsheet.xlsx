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rojects\AgentIssue-Bench\"/>
    </mc:Choice>
  </mc:AlternateContent>
  <bookViews>
    <workbookView xWindow="0" yWindow="0" windowWidth="19200" windowHeight="6804" activeTab="2"/>
  </bookViews>
  <sheets>
    <sheet name="Taxonomy" sheetId="2" r:id="rId1"/>
    <sheet name="Statistics" sheetId="4" r:id="rId2"/>
    <sheet name="50 AgentIssue-Bench" sheetId="3" r:id="rId3"/>
    <sheet name="20 Additional AgenIssue-Bench" sheetId="5" state="hidden" r:id="rId4"/>
    <sheet name="All Issues" sheetId="7" r:id="rId5"/>
  </sheets>
  <externalReferences>
    <externalReference r:id="rId6"/>
  </externalReferenc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5" i="4" l="1"/>
  <c r="F55" i="4"/>
  <c r="E55" i="4"/>
  <c r="D55" i="4"/>
  <c r="C55" i="4"/>
  <c r="B55" i="4"/>
  <c r="G54" i="4"/>
  <c r="F54" i="4"/>
  <c r="E54" i="4"/>
  <c r="D54" i="4"/>
  <c r="C54" i="4"/>
  <c r="B54" i="4"/>
  <c r="Y54" i="3"/>
  <c r="Y55" i="3" s="1"/>
  <c r="X54" i="3"/>
  <c r="X55" i="3" s="1"/>
  <c r="U54" i="3"/>
  <c r="U55" i="3" s="1"/>
  <c r="T54" i="3"/>
  <c r="T55" i="3" s="1"/>
  <c r="Q54" i="3"/>
  <c r="Q55" i="3" s="1"/>
  <c r="P54" i="3"/>
  <c r="P55" i="3" s="1"/>
  <c r="M54" i="3"/>
  <c r="M55" i="3" s="1"/>
  <c r="L54" i="3"/>
  <c r="L55" i="3" s="1"/>
  <c r="H54" i="3"/>
  <c r="H55" i="3" s="1"/>
  <c r="S50" i="3"/>
  <c r="R50" i="3"/>
  <c r="W48" i="3"/>
  <c r="V48" i="3"/>
  <c r="AD47" i="3"/>
  <c r="V47" i="3"/>
  <c r="N47" i="3"/>
  <c r="J47" i="3"/>
  <c r="Q45" i="3"/>
  <c r="P45" i="3"/>
  <c r="J45" i="3"/>
  <c r="I45" i="3"/>
  <c r="H45" i="3"/>
  <c r="J44" i="3"/>
  <c r="I44" i="3"/>
  <c r="H44" i="3"/>
  <c r="Y41" i="3"/>
  <c r="X41" i="3"/>
  <c r="S41" i="3"/>
  <c r="R41" i="3"/>
  <c r="K41" i="3"/>
  <c r="J41" i="3"/>
  <c r="I41" i="3"/>
  <c r="I54" i="3" s="1"/>
  <c r="I55" i="3" s="1"/>
  <c r="AE40" i="3"/>
  <c r="V39" i="3"/>
  <c r="W38" i="3"/>
  <c r="V38" i="3"/>
  <c r="W37" i="3"/>
  <c r="V37" i="3"/>
  <c r="V36" i="3"/>
  <c r="R36" i="3"/>
  <c r="AE34" i="3"/>
  <c r="AD34" i="3"/>
  <c r="O34" i="3"/>
  <c r="N34" i="3"/>
  <c r="J34" i="3"/>
  <c r="K31" i="3"/>
  <c r="J31" i="3"/>
  <c r="AC30" i="3"/>
  <c r="AB30" i="3"/>
  <c r="AD29" i="3"/>
  <c r="V29" i="3"/>
  <c r="R29" i="3"/>
  <c r="N29" i="3"/>
  <c r="J29" i="3"/>
  <c r="AE28" i="3"/>
  <c r="AD28" i="3"/>
  <c r="K28" i="3"/>
  <c r="J28" i="3"/>
  <c r="H28" i="3"/>
  <c r="AE27" i="3"/>
  <c r="K27" i="3"/>
  <c r="H27" i="3"/>
  <c r="AA26" i="3"/>
  <c r="Z26" i="3"/>
  <c r="AE25" i="3"/>
  <c r="AD25" i="3"/>
  <c r="Z25" i="3"/>
  <c r="AE23" i="3"/>
  <c r="AD23" i="3"/>
  <c r="AE22" i="3"/>
  <c r="AD22" i="3"/>
  <c r="AA22" i="3"/>
  <c r="Z22" i="3"/>
  <c r="W22" i="3"/>
  <c r="V22" i="3"/>
  <c r="S22" i="3"/>
  <c r="S54" i="3" s="1"/>
  <c r="S55" i="3" s="1"/>
  <c r="R22" i="3"/>
  <c r="N22" i="3"/>
  <c r="K22" i="3"/>
  <c r="J22" i="3"/>
  <c r="AE21" i="3"/>
  <c r="AD21" i="3"/>
  <c r="Z21" i="3"/>
  <c r="V21" i="3"/>
  <c r="O21" i="3"/>
  <c r="N21" i="3"/>
  <c r="J21" i="3"/>
  <c r="AA20" i="3"/>
  <c r="Z20" i="3"/>
  <c r="O20" i="3"/>
  <c r="N20" i="3"/>
  <c r="K20" i="3"/>
  <c r="J20" i="3"/>
  <c r="R19" i="3"/>
  <c r="N19" i="3"/>
  <c r="J19" i="3"/>
  <c r="AE18" i="3"/>
  <c r="AE17" i="3"/>
  <c r="AD17" i="3"/>
  <c r="AA17" i="3"/>
  <c r="Z17" i="3"/>
  <c r="O17" i="3"/>
  <c r="N17" i="3"/>
  <c r="K17" i="3"/>
  <c r="J17" i="3"/>
  <c r="R16" i="3"/>
  <c r="W14" i="3"/>
  <c r="W54" i="3" s="1"/>
  <c r="W55" i="3" s="1"/>
  <c r="V14" i="3"/>
  <c r="R13" i="3"/>
  <c r="R54" i="3" s="1"/>
  <c r="R55" i="3" s="1"/>
  <c r="O12" i="3"/>
  <c r="N12" i="3"/>
  <c r="AB9" i="3"/>
  <c r="AB54" i="3" s="1"/>
  <c r="AB55" i="3" s="1"/>
  <c r="AE8" i="3"/>
  <c r="AD8" i="3"/>
  <c r="AB8" i="3"/>
  <c r="Z8" i="3"/>
  <c r="AE7" i="3"/>
  <c r="AD7" i="3"/>
  <c r="AA7" i="3"/>
  <c r="Z7" i="3"/>
  <c r="O6" i="3"/>
  <c r="N6" i="3"/>
  <c r="K6" i="3"/>
  <c r="J6" i="3"/>
  <c r="AC5" i="3"/>
  <c r="AC54" i="3" s="1"/>
  <c r="AC55" i="3" s="1"/>
  <c r="AE4" i="3"/>
  <c r="AE54" i="3" s="1"/>
  <c r="AE55" i="3" s="1"/>
  <c r="AD4" i="3"/>
  <c r="AD54" i="3" s="1"/>
  <c r="AD55" i="3" s="1"/>
  <c r="AA4" i="3"/>
  <c r="Z4" i="3"/>
  <c r="Z54" i="3" s="1"/>
  <c r="Z55" i="3" s="1"/>
  <c r="O4" i="3"/>
  <c r="O54" i="3" s="1"/>
  <c r="O55" i="3" s="1"/>
  <c r="N4" i="3"/>
  <c r="N54" i="3" s="1"/>
  <c r="N55" i="3" s="1"/>
  <c r="K4" i="3"/>
  <c r="K54" i="3" s="1"/>
  <c r="K55" i="3" s="1"/>
  <c r="J4" i="3"/>
  <c r="J54" i="3" s="1"/>
  <c r="J55" i="3" s="1"/>
  <c r="AA3" i="3"/>
  <c r="AA54" i="3" s="1"/>
  <c r="AA55" i="3" s="1"/>
  <c r="V3" i="3"/>
  <c r="V54" i="3" s="1"/>
  <c r="V55" i="3" s="1"/>
  <c r="E22" i="2"/>
  <c r="D22" i="2"/>
</calcChain>
</file>

<file path=xl/sharedStrings.xml><?xml version="1.0" encoding="utf-8"?>
<sst xmlns="http://schemas.openxmlformats.org/spreadsheetml/2006/main" count="3729" uniqueCount="1536">
  <si>
    <t>No.</t>
  </si>
  <si>
    <t>https://github.com/Josh-XT/AGiXT/issues/1253</t>
  </si>
  <si>
    <t>https://github.com/Josh-XT/AGiXT/issues/1030</t>
  </si>
  <si>
    <t>https://github.com/Josh-XT/AGiXT/issues/1026</t>
  </si>
  <si>
    <t>https://github.com/Josh-XT/AGiXT/issues/1256</t>
  </si>
  <si>
    <t>https://github.com/Josh-XT/AGiXT/issues/1369</t>
  </si>
  <si>
    <t>https://github.com/Josh-XT/AGiXT/issues/1371</t>
  </si>
  <si>
    <t>https://github.com/microsoft/autogen/issues/5124</t>
  </si>
  <si>
    <t>https://github.com/microsoft/autogen/issues/5012</t>
  </si>
  <si>
    <t>https://github.com/microsoft/autogen/issues/5007</t>
  </si>
  <si>
    <t>https://github.com/microsoft/autogen/issues/4785</t>
  </si>
  <si>
    <t>https://github.com/microsoft/autogen/issues/4733</t>
  </si>
  <si>
    <t>https://github.com/microsoft/autogen/issues/4382</t>
  </si>
  <si>
    <t>https://github.com/microsoft/autogen/issues/4197</t>
  </si>
  <si>
    <t>https://github.com/microsoft/autogen/issues/3361</t>
  </si>
  <si>
    <t>https://github.com/microsoft/autogen/issues/1844</t>
  </si>
  <si>
    <t>https://github.com/microsoft/autogen/issues/1174</t>
  </si>
  <si>
    <t>https://github.com/camel-ai/camel/issues/1145</t>
  </si>
  <si>
    <t>https://github.com/camel-ai/camel/issues/1273</t>
  </si>
  <si>
    <t>https://github.com/camel-ai/camel/issues/88</t>
  </si>
  <si>
    <t>https://github.com/camel-ai/camel/issues/1614</t>
  </si>
  <si>
    <t>https://github.com/OpenBMB/ChatDev/issues/465</t>
  </si>
  <si>
    <t>https://github.com/OpenBMB/ChatDev/issues/318</t>
  </si>
  <si>
    <t>https://github.com/OpenBMB/ChatDev/issues/413</t>
  </si>
  <si>
    <t>https://github.com/crewAIInc/crewAI/issues/1532</t>
  </si>
  <si>
    <t>https://github.com/crewAIInc/crewAI/issues/1463</t>
  </si>
  <si>
    <t>https://github.com/crewAIInc/crewAI/issues/1370</t>
  </si>
  <si>
    <t>https://github.com/crewAIInc/crewAI/issues/1323</t>
  </si>
  <si>
    <t>https://github.com/crewAIInc/crewAI/issues/1270</t>
  </si>
  <si>
    <t>https://github.com/crewAIInc/crewAI/issues/1723</t>
  </si>
  <si>
    <t>https://github.com/crewAIInc/crewAI/issues/1753</t>
  </si>
  <si>
    <t>https://github.com/crewAIInc/crewAI/issues/1824</t>
  </si>
  <si>
    <t>https://github.com/crewAIInc/crewAI/issues/1934</t>
  </si>
  <si>
    <t>https://github.com/agentcoinorg/evo.ninja/issues/652</t>
  </si>
  <si>
    <t>https://github.com/agentcoinorg/evo.ninja/issues/594</t>
  </si>
  <si>
    <t>https://github.com/agentcoinorg/evo.ninja/issues/525</t>
  </si>
  <si>
    <t>https://github.com/agentcoinorg/evo.ninja/issues/515</t>
  </si>
  <si>
    <t>https://github.com/agentcoinorg/evo.ninja/issues/504</t>
  </si>
  <si>
    <t>https://github.com/AntonOsika/gpt-engineer/issues/1197</t>
  </si>
  <si>
    <t>https://github.com/assafelovic/gpt-researcher/issues/1027</t>
  </si>
  <si>
    <t>https://github.com/deepset-ai/haystack/issues/9523</t>
  </si>
  <si>
    <t>https://github.com/deepset-ai/haystack/issues/8912</t>
  </si>
  <si>
    <t>https://github.com/InternLM/lagent/issues/279</t>
  </si>
  <si>
    <t>https://github.com/InternLM/lagent/issues/239</t>
  </si>
  <si>
    <t>https://github.com/InternLM/lagent/issues/244</t>
  </si>
  <si>
    <t>https://github.com/geekan/MetaGPT/issues/1313</t>
  </si>
  <si>
    <t>https://github.com/Pythagora-io/pythagora/issues/55</t>
  </si>
  <si>
    <t>https://github.com/superagent-ai/superagent/issues/953</t>
  </si>
  <si>
    <t>https://github.com/princeton-nlp/SWE-agent/issues/741</t>
  </si>
  <si>
    <t>https://github.com/vercel/ai/issues/4411</t>
  </si>
  <si>
    <t>https://github.com/vercel/ai/issues/5628</t>
  </si>
  <si>
    <t>Agentless (Gpt-4o)</t>
  </si>
  <si>
    <t>Agentless (Claude-3.5)</t>
  </si>
  <si>
    <t>SWE-Agent (Gpt-4o)</t>
  </si>
  <si>
    <t>SWE-Agent (Claude-3.5)</t>
  </si>
  <si>
    <t>Autocoderover (Gpt-4o)</t>
  </si>
  <si>
    <t>Autocoderover (Claude-3.5)</t>
  </si>
  <si>
    <t>Reference</t>
  </si>
  <si>
    <t>Plausible</t>
  </si>
  <si>
    <t>Correct</t>
  </si>
  <si>
    <t>File-level</t>
  </si>
  <si>
    <t>Function-level</t>
  </si>
  <si>
    <t>Plausible2</t>
  </si>
  <si>
    <t>Correct2</t>
  </si>
  <si>
    <t>File-level2</t>
  </si>
  <si>
    <t>Function-level2</t>
  </si>
  <si>
    <t>Plausible3</t>
  </si>
  <si>
    <t>Correct3</t>
  </si>
  <si>
    <t>File-level3</t>
  </si>
  <si>
    <t>Function-level3</t>
  </si>
  <si>
    <t>Plausible4</t>
  </si>
  <si>
    <t>Correct4</t>
  </si>
  <si>
    <t>File-level4</t>
  </si>
  <si>
    <t>Function-level4</t>
  </si>
  <si>
    <t>Plausible5</t>
  </si>
  <si>
    <t>Correct5</t>
  </si>
  <si>
    <t>File-level5</t>
  </si>
  <si>
    <t>Function-level5</t>
  </si>
  <si>
    <t>Plausible6</t>
  </si>
  <si>
    <t>Correct6</t>
  </si>
  <si>
    <t>File-level6</t>
  </si>
  <si>
    <t>Function-level6</t>
  </si>
  <si>
    <t>Category</t>
  </si>
  <si>
    <t>Sub-category</t>
  </si>
  <si>
    <t>Description</t>
  </si>
  <si>
    <t>Replicated Count</t>
  </si>
  <si>
    <t>A Incompatibility with LLM providers</t>
  </si>
  <si>
    <t>A.1 incompatible libraries with LLM providers</t>
  </si>
  <si>
    <t>Missing or improperly installed the third-party libraries of model providers, such as the openai python library~\ref{}.</t>
  </si>
  <si>
    <t>A.2 Unsupported or incompatible model issues</t>
  </si>
  <si>
    <t>Problems where the agent is unable to support or work with popular models, such as DeepSeek R1, GPT-4 Turbo, and Claude 3.5, preventing their use within the agent system for specific tasks.</t>
  </si>
  <si>
    <t>A.3 incompatible parameters to LLM providers</t>
  </si>
  <si>
    <t>Providing unexpected parameters or missing necessary parameters when invoking the LLM from third-party LLM providers, such as OpenAI,Anthropic, Together AI.</t>
  </si>
  <si>
    <t>B Tool-related errors</t>
  </si>
  <si>
    <t>B.1 tool dependency issues</t>
  </si>
  <si>
    <t>Issues caused by missing, incompatible, or misconfigured libraries required for tool execution or integration with the LLM.</t>
  </si>
  <si>
    <t>B.2 tool configuration erros</t>
  </si>
  <si>
    <t>Misconfigurations in tool-related settings, such as retrieval mode selection, retriever assignment, or embedder specification.</t>
  </si>
  <si>
    <t>B.3 tool implementation error</t>
  </si>
  <si>
    <t>Flaws in the execution logic of self-developed tools, such as failure to handle edge cases like empty outputs or token limits.</t>
  </si>
  <si>
    <t>B.4 misuse tool interfaces</t>
  </si>
  <si>
    <t>Errors that prevent the tool from being called correctly, such as missing or unexpected parameters, as well as flawed logic in binding tools to LLMs.</t>
  </si>
  <si>
    <t>C. Memory-related errors</t>
  </si>
  <si>
    <t>C.1 memory intilization error</t>
  </si>
  <si>
    <t>Failures in properly initializing or resetting memory components, such as issues with database initialization, workspace resetting, or the improper application of uploaded files to new workspaces, leading to incomplete or inconsistent memory states.</t>
  </si>
  <si>
    <t>C.2 memory content error</t>
  </si>
  <si>
    <t>Inaccuracies or inconsistencies in memory representation, including erroneous message attributes, redundant or misleading content, and flawed implementation of storage mechanisms that may lead to incomplete or interrupted memory updates.</t>
  </si>
  <si>
    <t>C.3 memory dependency issues</t>
  </si>
  <si>
    <t>Failures caused by changes or inconsistencies in internal modules or external dependencies required for memory operations.</t>
  </si>
  <si>
    <t>D. LLM operation error</t>
  </si>
  <si>
    <t>D.1 model access/binding configuration error</t>
  </si>
  <si>
    <t>Misconfigurations that prevent proper access to the intended model, such as incorrect model binding or missing authentication credentials (e.g., API keys).</t>
  </si>
  <si>
    <t>D.3 token usage error</t>
  </si>
  <si>
    <t>Failures in setting token-related parameters for LLMs, such as maximum token limits, token pricing, or token management modules, which may lead to inference errors or cost tracking failures</t>
  </si>
  <si>
    <t>D.4 incorrect model output handling</t>
  </si>
  <si>
    <t>Errors in parsing standard LLM responses or failing to manage exceptional outputs, such as empty results, malformed data, refusal to answer, or other unexpected behaviors.</t>
  </si>
  <si>
    <t>D.5 model dependency issues</t>
  </si>
  <si>
    <t>Issues arising from missing or incompatible libraries required for proper LLM functioning, such as missing tokenization libraries or incompatible dependencies with the transformer library.</t>
  </si>
  <si>
    <t>D.7 context length error</t>
  </si>
  <si>
    <t>Errors arising from exceeding the LLM's maximum context length or incorrect calculations of the context length, leading to validation errors or output failures.</t>
  </si>
  <si>
    <t>prompt-related issues</t>
  </si>
  <si>
    <t>F. workfolow issues</t>
  </si>
  <si>
    <t>Problems in the scheduling or execution of an agent's workflow, leading to errors such as hanging, infinite loops, or skipped steps in the process.</t>
  </si>
  <si>
    <t>G. Utility issues</t>
  </si>
  <si>
    <t>G.1 utility implementation issues</t>
  </si>
  <si>
    <t>Errors arising from the faulty implementation of non-LLM components in the agent system, such as UI, Docker, logging, or other auxiliary utilities that support the agent's operation.</t>
  </si>
  <si>
    <t>G.2 utility dependency issues</t>
  </si>
  <si>
    <t>Problems arising from missing or incompatible dependencies unrelated to the agent itself, such as external libraries for file handling or testing and circular dependencies between internal modules.</t>
  </si>
  <si>
    <t>G.3 utility config errors</t>
  </si>
  <si>
    <t>Problems arising from incorrect or missing configuration of external components unrelated to the agent, such as I/O settings (e.g., file paths and encoding) or network settings like IP addresses.</t>
  </si>
  <si>
    <t>TOTAL</t>
  </si>
  <si>
    <t>Total Count</t>
  </si>
  <si>
    <t>Agent</t>
  </si>
  <si>
    <t>Issue</t>
  </si>
  <si>
    <t>Taxonomy</t>
  </si>
  <si>
    <t>Sub-Category</t>
  </si>
  <si>
    <t>Status</t>
  </si>
  <si>
    <t>AGiXT</t>
  </si>
  <si>
    <t>import chain AttributeError: 'NoneType' object has no attribute 'id'</t>
  </si>
  <si>
    <t>Utility issues</t>
  </si>
  <si>
    <t>utility implementation issues</t>
  </si>
  <si>
    <t>TypeError: '&gt;' not supported between instances of 'str' and 'int'</t>
  </si>
  <si>
    <t>Tool-related errors</t>
  </si>
  <si>
    <t>tool implementation error</t>
  </si>
  <si>
    <t>Check for kwargs["USE_STREAMLABS_TTS"].lower() doesn't work as bool object does not have lower</t>
  </si>
  <si>
    <t>utility config errors</t>
  </si>
  <si>
    <t>Select Commands from extensions does not properly save</t>
  </si>
  <si>
    <t>Chains allow empty names</t>
  </si>
  <si>
    <t>Chain Query too many values</t>
  </si>
  <si>
    <t>Autogen</t>
  </si>
  <si>
    <t>GrpcWorkerAgentRuntimeHost fails to start due to "no running event loop" error (Doc and Sample updated required)</t>
  </si>
  <si>
    <t>workflow issues</t>
  </si>
  <si>
    <t>Code sample in Read.md is not properly awaited</t>
  </si>
  <si>
    <t>Missing tiktoken dependency in AutoGen Studio</t>
  </si>
  <si>
    <t>LLM operation error</t>
  </si>
  <si>
    <t>model dependency issues</t>
  </si>
  <si>
    <t>Key error with OpenAI MODEL_CAPABILITIES</t>
  </si>
  <si>
    <t>model access/binding configuration error</t>
  </si>
  <si>
    <t>Code executor util classes (Alias, ImportFromModule) not hashable</t>
  </si>
  <si>
    <t>misuse tool interfaces</t>
  </si>
  <si>
    <t>ModuleNotFoundError: No module named 'grpc'</t>
  </si>
  <si>
    <t>utility dependency issues</t>
  </si>
  <si>
    <t>Make import self-consistent in large code blocks in agent chat tutorials</t>
  </si>
  <si>
    <t>TypeError: unhashable type: 'ImportFromModule' for User Defined Functions</t>
  </si>
  <si>
    <t>overlap parameter in the split_text_to_chunks not used</t>
  </si>
  <si>
    <t>Async_human_input openai.BadRequestError</t>
  </si>
  <si>
    <t>Camel</t>
  </si>
  <si>
    <t>Optional dependencies of TwitterTollkit, AskNewsToolkit, AsyncAskNewsToolkit are attempted to be imported when any toolkit is imported</t>
  </si>
  <si>
    <t>tool dependency issues</t>
  </si>
  <si>
    <t>[BUG] api_keys_required() is not compatible with the method of directly setting api_key</t>
  </si>
  <si>
    <t>Fix hard coded self.update_messages(output_messages[0])</t>
  </si>
  <si>
    <t>Memory-related errors</t>
  </si>
  <si>
    <t>memory content error</t>
  </si>
  <si>
    <t>Remove &lt;think&gt; in request to model</t>
  </si>
  <si>
    <t>ChatDev</t>
  </si>
  <si>
    <t>TypeError: __init__() got an unexpected keyword argument 'audio'</t>
  </si>
  <si>
    <t>KeyError: 'web_spider' when trying to run run.py #318</t>
  </si>
  <si>
    <t>tool configuration errors</t>
  </si>
  <si>
    <t>unexpected keyword argument "refusal"</t>
  </si>
  <si>
    <t>CrewAI</t>
  </si>
  <si>
    <t>OpenTelemetry can't be disabled</t>
  </si>
  <si>
    <t>Flow with parallel jobs and _and constraints fails to execute the _and constraint with funcs and strings passed.</t>
  </si>
  <si>
    <t>Import CrewAI takes &gt; 25 seconds</t>
  </si>
  <si>
    <t>Crews not running on o1-preview or o1-mini</t>
  </si>
  <si>
    <t>Incompatibility with LLM providers</t>
  </si>
  <si>
    <t>incompatible parameters to LLM providers</t>
  </si>
  <si>
    <t>UniqueDecodeError</t>
  </si>
  <si>
    <t>Error resetting short memory</t>
  </si>
  <si>
    <t>memory intilization error</t>
  </si>
  <si>
    <t>CrewJSONEncoder does not accept enums</t>
  </si>
  <si>
    <t>Fail to build tiktoken while installing crewai</t>
  </si>
  <si>
    <t>Kickoff hangs when LLM call fails</t>
  </si>
  <si>
    <t>Evo.ninja</t>
  </si>
  <si>
    <t>Example prompt break if previously viewing existing chat</t>
  </si>
  <si>
    <t>Handle anonymous session file upload</t>
  </si>
  <si>
    <t>Error on maximum context for GPT request and ask for another goal</t>
  </si>
  <si>
    <t>context length error</t>
  </si>
  <si>
    <t>Evo should be able to answer the user when asked what it can do</t>
  </si>
  <si>
    <t>Embedding proxy API - body exceeds maximum size</t>
  </si>
  <si>
    <t>GPT-Engineer</t>
  </si>
  <si>
    <t>Failed to update new codes from gpte</t>
  </si>
  <si>
    <t>incorrect model output handling</t>
  </si>
  <si>
    <t>GPT-Researcher</t>
  </si>
  <si>
    <t>Language in detailed report</t>
  </si>
  <si>
    <t>Haystack</t>
  </si>
  <si>
    <t>Issue deserializing an agent with ComponentTool in Tools</t>
  </si>
  <si>
    <t>tools_strict option in OpenAIChatGenerator broken with ComponentTool</t>
  </si>
  <si>
    <t>Lagent</t>
  </si>
  <si>
    <t>ModuleNotFoundError: No module name 'tenacity'</t>
  </si>
  <si>
    <t>ModuleNotFoundError: No module name 'griffe.enumerations'</t>
  </si>
  <si>
    <t>AttributeError: 'GenerationConfig' object has no attribute '_eos_token_sensor'</t>
  </si>
  <si>
    <t>MetaGPT</t>
  </si>
  <si>
    <t>AttributeError: 'Message' object has no attribute 'restricted_to'</t>
  </si>
  <si>
    <t>Pythagora</t>
  </si>
  <si>
    <t>Error when invalid path/directory for unit testing is not found</t>
  </si>
  <si>
    <t>Superagent-AI</t>
  </si>
  <si>
    <t>Installation error - supabase not found</t>
  </si>
  <si>
    <t>SWE-Agent</t>
  </si>
  <si>
    <t>utils directory not being included</t>
  </si>
  <si>
    <t>Vercel</t>
  </si>
  <si>
    <t>Parameter descriptions lost when using optional fields in tools</t>
  </si>
  <si>
    <t>Requests to vertex ai fail if z.record(z.string()) used in tool schema</t>
  </si>
  <si>
    <t>Percentage</t>
  </si>
  <si>
    <t>PERCENTAGE</t>
  </si>
  <si>
    <t>Total Resolved Issues</t>
  </si>
  <si>
    <t>gpt-4o</t>
  </si>
  <si>
    <t>claude-3.5</t>
  </si>
  <si>
    <t>Agentless</t>
  </si>
  <si>
    <t>AutoCodeRover</t>
  </si>
  <si>
    <t>SE Agents</t>
  </si>
  <si>
    <t>Fixed Rate Based On Taxonomy</t>
  </si>
  <si>
    <t>Fixed Rate (gpt-4o)</t>
  </si>
  <si>
    <t>Fixed Rate (claude-3-5-sonnet)</t>
  </si>
  <si>
    <t>Total</t>
  </si>
  <si>
    <t>incompatible libraries with LLM providers</t>
  </si>
  <si>
    <t>Unsupported or incompatible model issues</t>
  </si>
  <si>
    <t>memory dependency issues</t>
  </si>
  <si>
    <t>token usage error</t>
  </si>
  <si>
    <t>Agentless2</t>
  </si>
  <si>
    <t>SWE-Agent3</t>
  </si>
  <si>
    <t>AutoCodeRover4</t>
  </si>
  <si>
    <t>workfolow issues</t>
  </si>
  <si>
    <t>Avg. Utility (Correct)</t>
  </si>
  <si>
    <t>Avg. Utility (plausible)</t>
  </si>
  <si>
    <t>Avg. Non-Utility (correct)</t>
  </si>
  <si>
    <t>Avg. Non-Utility (plausible)</t>
  </si>
  <si>
    <t>Avg. File Localization (Utility)</t>
  </si>
  <si>
    <t>Avg. Function Localization (Utility)</t>
  </si>
  <si>
    <t>Avg. File Localization (Non-Utility)</t>
  </si>
  <si>
    <t>Avg. Function Localization (Non-Utility)</t>
  </si>
  <si>
    <t>% Correct</t>
  </si>
  <si>
    <t>% Plausible</t>
  </si>
  <si>
    <t>% File Localization</t>
  </si>
  <si>
    <t>% Function Localization</t>
  </si>
  <si>
    <t>Rate with Task's Severity (Utility=0.2; other categories=0.8)</t>
  </si>
  <si>
    <t>Pass@1</t>
  </si>
  <si>
    <t>Pass@3</t>
  </si>
  <si>
    <t>Pass@k Metrics</t>
  </si>
  <si>
    <t>Pass@k</t>
  </si>
  <si>
    <t>MLE-agent</t>
  </si>
  <si>
    <t>can't format to json</t>
  </si>
  <si>
    <t>https://github.com/MLSysOps/MLE-agent/issues/173</t>
  </si>
  <si>
    <t>ai</t>
  </si>
  <si>
    <t>generateObject throws NoObjectGeneratedError with some providers.</t>
  </si>
  <si>
    <t>https://github.com/vercel/ai/issues/6510</t>
  </si>
  <si>
    <t>Wrongly reading model stream answer resulting in a duplication of tool-calls with same tool id</t>
  </si>
  <si>
    <t>https://github.com/vercel/ai/issues/3953</t>
  </si>
  <si>
    <t>convertToCoreMessages now returns message content after tools, breaking subsequent LLM calls</t>
  </si>
  <si>
    <t>https://github.com/vercel/ai/issues/4619</t>
  </si>
  <si>
    <t>Re-Asks with Repair Tool Call</t>
  </si>
  <si>
    <t>https://github.com/vercel/ai/issues/4446</t>
  </si>
  <si>
    <t>Error: Error executing tool xy: Attempted to send a request from a closed client</t>
  </si>
  <si>
    <t>https://github.com/vercel/ai/issues/5365</t>
  </si>
  <si>
    <t>mastra-ai</t>
  </si>
  <si>
    <t>generateTitle does not get RuntimeContext</t>
  </si>
  <si>
    <t>https://github.com/mastra-ai/mastra/issues/4331</t>
  </si>
  <si>
    <t>anything-llm</t>
  </si>
  <si>
    <t>Invalid OpenAPI specification in generated swagger schema</t>
  </si>
  <si>
    <t>https://github.com/Mintplex-Labs/anything-llm/issues/2218</t>
  </si>
  <si>
    <t>crewAI</t>
  </si>
  <si>
    <t>Error passing LLM output</t>
  </si>
  <si>
    <t>https://github.com/crewAIInc/crewAI/issues/2237</t>
  </si>
  <si>
    <t>"WebDriver" object is not callable</t>
  </si>
  <si>
    <t>https://github.com/crewAIInc/crewAI/issues/2127</t>
  </si>
  <si>
    <t>APIStatusError.__init__() missing 2 required keyword-only arguments: 'response' and 'body'</t>
  </si>
  <si>
    <t>https://github.com/crewAIInc/crewAI/issues/2150</t>
  </si>
  <si>
    <t>Langgraphjs</t>
  </si>
  <si>
    <t>LLM object must define bindTools method when using createSupervisor with ChatOpenAI</t>
  </si>
  <si>
    <t>https://github.com/langchain-ai/langgraphjs/issues/1217</t>
  </si>
  <si>
    <t>env vars set on StdioServerInfo are logged as plain text to external tracing tools (langfuse)</t>
  </si>
  <si>
    <t>https://github.com/deepset-ai/haystack/issues/9487</t>
  </si>
  <si>
    <t>Agent as a tool for other agents through ComponentTool</t>
  </si>
  <si>
    <t>https://github.com/deepset-ai/haystack/issues/9313</t>
  </si>
  <si>
    <t>Agent component doesn't have an output called messages</t>
  </si>
  <si>
    <t>https://github.com/deepset-ai/haystack/issues/9193</t>
  </si>
  <si>
    <t>OpenManus</t>
  </si>
  <si>
    <t>run_mcp.py can not work correct ,OpenAI API error: Error code: 400 - Invalid 'tools[0].function.name': string does not match pattern</t>
  </si>
  <si>
    <t>https://github.com/FoundationAgents/OpenManus/issues/1143</t>
  </si>
  <si>
    <t>Unable to render "tool running" for client-side tools</t>
  </si>
  <si>
    <t>https://github.com/vercel/ai/issues/2705</t>
  </si>
  <si>
    <t>Use of structuredClone breaks Vue implementation</t>
  </si>
  <si>
    <t>https://github.com/vercel/ai/issues/4761</t>
  </si>
  <si>
    <t>Forcing OpenAI's Web Search tool doesn't work with toolChoice</t>
  </si>
  <si>
    <t>https://github.com/vercel/ai/issues/5380</t>
  </si>
  <si>
    <t>For tasks like "Introduce your function", they will be executed repeatedly and never terminated.</t>
  </si>
  <si>
    <t>https://github.com/FoundationAgents/OpenManus/issues/1133</t>
  </si>
  <si>
    <t>Symptoms</t>
  </si>
  <si>
    <t>Root Cause</t>
  </si>
  <si>
    <t>Bug Fix Category</t>
  </si>
  <si>
    <t>Bug Fix Description</t>
  </si>
  <si>
    <t>Has Patch?</t>
  </si>
  <si>
    <t>Patch</t>
  </si>
  <si>
    <t>Replicated?</t>
  </si>
  <si>
    <t>Resolved</t>
  </si>
  <si>
    <t>Notes</t>
  </si>
  <si>
    <t>Back-triggering stage</t>
  </si>
  <si>
    <t>Docker?</t>
  </si>
  <si>
    <t>Passing Test (Before Fix)</t>
  </si>
  <si>
    <t>Passing Test (After Fix)</t>
  </si>
  <si>
    <t>Plausible Patch</t>
  </si>
  <si>
    <t>Correct Patch</t>
  </si>
  <si>
    <t>LangChain design conflict</t>
  </si>
  <si>
    <t>Dependency Issues</t>
  </si>
  <si>
    <t>Tool Dependency Issues</t>
  </si>
  <si>
    <t>missing one parameter when calling tools</t>
  </si>
  <si>
    <t>CrewAI did not accommodate the newest LangChain design on StructuredTool._run()</t>
  </si>
  <si>
    <t>CLOSED</t>
  </si>
  <si>
    <t>Functionality and Integration</t>
  </si>
  <si>
    <t>Previously, it was suggested to downgrade the LangChain version. Recent solution is that CrewAI tools got updated to accommodate the newest LangChain design.</t>
  </si>
  <si>
    <t>No</t>
  </si>
  <si>
    <t>N/A</t>
  </si>
  <si>
    <t>https://github.com/crewAIInc/crewAI/issues/924</t>
  </si>
  <si>
    <t>Agent hallucination</t>
  </si>
  <si>
    <t>-</t>
  </si>
  <si>
    <t>CLOSED - NO FIX</t>
  </si>
  <si>
    <t>https://github.com/crewAIInc/crewAI/issues/826</t>
  </si>
  <si>
    <t>Crew run unexpectedly stop due to scrapping too long website (context limitation)</t>
  </si>
  <si>
    <t>LLM Operation Issues</t>
  </si>
  <si>
    <t>Context Length Issues</t>
  </si>
  <si>
    <t>No exception handle when the context exceeds its limit</t>
  </si>
  <si>
    <t>Use summarization method to ensure the Crew does not break/stop</t>
  </si>
  <si>
    <t>https://github.com/crewAIInc/crewAI/issues/965</t>
  </si>
  <si>
    <t>Utility Issues</t>
  </si>
  <si>
    <t>Utility Config Errors</t>
  </si>
  <si>
    <t>collecting user data</t>
  </si>
  <si>
    <t>Disable OpenTelemetry explicitly</t>
  </si>
  <si>
    <t>Yes</t>
  </si>
  <si>
    <t>https://github.com/crewAIInc/crewAI/pull/1536</t>
  </si>
  <si>
    <t>Crewai==0.76.2</t>
  </si>
  <si>
    <t>execution phase</t>
  </si>
  <si>
    <t>- Correctly fix the issue
- The patches are similar</t>
  </si>
  <si>
    <t>- Fail to localize the issue</t>
  </si>
  <si>
    <t>Fail to identify the issue</t>
  </si>
  <si>
    <t>Dall-E Tool, DOCXSearchTool Issue</t>
  </si>
  <si>
    <t>Action Issues</t>
  </si>
  <si>
    <t>Misuse tool interfaces</t>
  </si>
  <si>
    <t>Missing Parameters</t>
  </si>
  <si>
    <t>System's tool calling issue</t>
  </si>
  <si>
    <t>Fix the tool calling in CrewAI</t>
  </si>
  <si>
    <t>https://github.com/crewAIInc/crewAI/issues/1522</t>
  </si>
  <si>
    <t>Improving tool description generation</t>
  </si>
  <si>
    <t>System's tool call failing, Exposing information that is not useful for LLM &amp; tool calling failed to work</t>
  </si>
  <si>
    <t>https://github.com/crewAIInc/crewAI/issues/1511</t>
  </si>
  <si>
    <t>TypeError due to NoneType Input</t>
  </si>
  <si>
    <t>Incorrect Model Output Handling</t>
  </si>
  <si>
    <t>No handler when LLM returns nothing (Exception)</t>
  </si>
  <si>
    <t>No handler when LLM returns nothing</t>
  </si>
  <si>
    <t>Raise an appropriate exception when LLm returns no response</t>
  </si>
  <si>
    <t>https://github.com/crewAIInc/crewAI/pull/1548</t>
  </si>
  <si>
    <t>https://github.com/crewAIInc/crewAI/issues/1521</t>
  </si>
  <si>
    <t>Received different error message</t>
  </si>
  <si>
    <t>FileSavingTool not working</t>
  </si>
  <si>
    <t>Tool Implementation Error</t>
  </si>
  <si>
    <t>wrong type of the toolcalling object；general tool</t>
  </si>
  <si>
    <t>System's tool call failing</t>
  </si>
  <si>
    <t>https://github.com/crewAIInc/crewAI/issues/1515</t>
  </si>
  <si>
    <t>Issue calling a coworker</t>
  </si>
  <si>
    <t>Workflow Issues</t>
  </si>
  <si>
    <t>Agent Workflow Issues</t>
  </si>
  <si>
    <t>在调用工具将工作分配给其他agent的时候出现找不到其他agent的问题，导致流程中断</t>
  </si>
  <si>
    <t>https://github.com/crewAIInc/crewAI/issues/1501
https://github.com/crewAIInc/crewAI/issues/1399</t>
  </si>
  <si>
    <t>No module named "tomlib"</t>
  </si>
  <si>
    <t>Utility Dependency Issues</t>
  </si>
  <si>
    <t>file reading dependency</t>
  </si>
  <si>
    <t>Tomlib is added in Python 3.10, but not specified in CrewAI</t>
  </si>
  <si>
    <t>Add tomlib to support Python 3.10 and suggested to upgrade to python 3.11</t>
  </si>
  <si>
    <t>https://github.com/crewAIInc/crewAI/pull/1506</t>
  </si>
  <si>
    <t>https://github.com/crewAIInc/crewAI/issues/1495</t>
  </si>
  <si>
    <t>CrewAI does not support VertexAI Embedding models</t>
  </si>
  <si>
    <t>Documentation Error</t>
  </si>
  <si>
    <t>No memory import for embedding function</t>
  </si>
  <si>
    <t>Add memory import for embedding function</t>
  </si>
  <si>
    <t>https://github.com/crewAIInc/crewAI/pull/1497</t>
  </si>
  <si>
    <t>https://github.com/crewAIInc/crewAI/issues/1489</t>
  </si>
  <si>
    <t>Receive different error messages</t>
  </si>
  <si>
    <t>Chromadb failing to initialize</t>
  </si>
  <si>
    <t>Memory-related Issues</t>
  </si>
  <si>
    <t>Memory Initialization Error</t>
  </si>
  <si>
    <t>Update the patch and do memory reset</t>
  </si>
  <si>
    <t>https://github.com/crewAIInc/crewAI/issues/1485</t>
  </si>
  <si>
    <t>workflow的逻辑错误</t>
  </si>
  <si>
    <t>Wrong execution for triggering and and with multiple start</t>
  </si>
  <si>
    <t>Properly trigger "and" and with mutiple "start"</t>
  </si>
  <si>
    <t>https://github.com/crewAIInc/crewAI/pull/1531</t>
  </si>
  <si>
    <t>Go to branch "add-codeql" and run the script.</t>
  </si>
  <si>
    <t>- it is not solving the issue</t>
  </si>
  <si>
    <t>- Wrong localization</t>
  </si>
  <si>
    <t>Wrong role type added to messages array for AgentAction</t>
  </si>
  <si>
    <t>Memory Content Errors</t>
  </si>
  <si>
    <t>https://github.com/crewAIInc/crewAI/pull/1438</t>
  </si>
  <si>
    <t>https://github.com/crewAIInc/crewAI/issues/1437</t>
  </si>
  <si>
    <t>The steps to reproduce the issue are not clear</t>
  </si>
  <si>
    <t>Custom prompt_file is not loaded</t>
  </si>
  <si>
    <t>Erroeous Prompt Management, Prompt-related issues</t>
  </si>
  <si>
    <t>Prompt file does not work</t>
  </si>
  <si>
    <t>The slices from custom prompt file can never be used by ToolUsage for the format and tools slices. Only the default values from the default file.</t>
  </si>
  <si>
    <t>Let the slices in ToolUsage be customized so that it loads custom prompt_file</t>
  </si>
  <si>
    <t>https://github.com/crewAIInc/crewAI/pull/1440</t>
  </si>
  <si>
    <t>https://github.com/crewAIInc/crewAI/issues/1384</t>
  </si>
  <si>
    <t>Utility Implementation Issues</t>
  </si>
  <si>
    <t>Release Package</t>
  </si>
  <si>
    <t>Load large library without refactoring</t>
  </si>
  <si>
    <t>Refactor import to lazy load large libraries</t>
  </si>
  <si>
    <t>https://github.com/crewAIInc/crewAI/pull/1396</t>
  </si>
  <si>
    <t>15-20 seconds. It supposed to load in 5 sec. Crewai==0.32.2</t>
  </si>
  <si>
    <t>Loading phase</t>
  </si>
  <si>
    <t>- Wrong to understand the issue</t>
  </si>
  <si>
    <t>0,1</t>
  </si>
  <si>
    <t>Deep Seek Integration</t>
  </si>
  <si>
    <t>链接失效</t>
  </si>
  <si>
    <t>Cannot connect CrewAI with DeepSeek</t>
  </si>
  <si>
    <t>Update the patch</t>
  </si>
  <si>
    <t>https://github.com/crewAIInc/crewAI/issues/1359</t>
  </si>
  <si>
    <t>LLM variable for agent configuration issue</t>
  </si>
  <si>
    <t>Model Access/Binding Configuration Error</t>
  </si>
  <si>
    <t>use the wrong LLM</t>
  </si>
  <si>
    <t>Context length limitation</t>
  </si>
  <si>
    <t>https://github.com/crewAIInc/crewAI/issues/1356</t>
  </si>
  <si>
    <t>Agent stuck in a loop using LiteLLM and Gemini</t>
  </si>
  <si>
    <t>Tried to both perform Action and give a Final Answer at the same time</t>
  </si>
  <si>
    <t>https://github.com/crewAIInc/crewAI/issues/1355</t>
  </si>
  <si>
    <t>Training Crew Error</t>
  </si>
  <si>
    <t>Training Issues</t>
  </si>
  <si>
    <t>Training Issues不要了</t>
  </si>
  <si>
    <t>https://github.com/crewAIInc/crewAI/issues/1353</t>
  </si>
  <si>
    <t>OpenAI model not obeying env configuration</t>
  </si>
  <si>
    <t>OPENAI_MODEL_NAME configuration does not work as expected: Suddenly use gpt-4o when the configuration explicitly using gpt-4o-mini</t>
  </si>
  <si>
    <t>https://github.com/crewAIInc/crewAI/issues/1336</t>
  </si>
  <si>
    <t>Patch 0.60.0 fail to work with gpt-4o</t>
  </si>
  <si>
    <t>由于只提供了LiteLLM一种方式来绑定模型，导致不少人的工作流崩溃了，绑定的模型也未能生效。</t>
  </si>
  <si>
    <t>Missing out adding major providers such as LangChain and Llama-index</t>
  </si>
  <si>
    <t>Adding the major providers by updating the patch</t>
  </si>
  <si>
    <t>https://github.com/crewAIInc/crewAI/issues/1333</t>
  </si>
  <si>
    <t>Incompatibility with
LLM providers</t>
  </si>
  <si>
    <t>Incompatible parameters to LLM providers</t>
  </si>
  <si>
    <t>Unspported parameters，框架引入的参数</t>
  </si>
  <si>
    <t>Overriding agent executor that cause some other issues in the crew AI</t>
  </si>
  <si>
    <t>Big refactoring in the system that removes LangChain as dependency while still supporting their tools</t>
  </si>
  <si>
    <t>https://github.com/crewAIInc/crewAI/pull/1322</t>
  </si>
  <si>
    <t>Give me error when use o1-mini and o1-preview. Crewai==0.51.1</t>
  </si>
  <si>
    <t>- Fail to handle the new LLM model thoroughly</t>
  </si>
  <si>
    <t>file encoding</t>
  </si>
  <si>
    <t>No handler to check if the file encoding is gbk or utf-8</t>
  </si>
  <si>
    <t>When the chinese characters are present, yaml file is treated with gbk format</t>
  </si>
  <si>
    <t>https://github.com/crewAIInc/crewAI/pull/1316</t>
  </si>
  <si>
    <t>Translate agents.yaml and tasks.yaml to Chinese</t>
  </si>
  <si>
    <t>- Missing chardet library (no instruction to install chardet library)</t>
  </si>
  <si>
    <t>- Missing instructions to install the chardet or charset_normalizer using pip, so technically the patches are not fixing the issues</t>
  </si>
  <si>
    <t>0,6666666667</t>
  </si>
  <si>
    <t>LangChain load_tools error</t>
  </si>
  <si>
    <t>Unsupported Parameters</t>
  </si>
  <si>
    <t>Upadate to 0.41.1</t>
  </si>
  <si>
    <t>https://github.com/crewAIInc/crewAI/issues/1055</t>
  </si>
  <si>
    <t>Fail to work with Gemini as the LLM</t>
  </si>
  <si>
    <t>模型绑定出了问题，用gemini的模型但依然让提供OPENAI的API_Key；</t>
  </si>
  <si>
    <t>Upadate to 0.35.8 which ships a lot of improvements and fix ton of bugs</t>
  </si>
  <si>
    <t>https://github.com/crewAIInc/crewAI/issues/879</t>
  </si>
  <si>
    <t>LLM configuration problem</t>
  </si>
  <si>
    <t>模型绑定问题，没有正确使用用户绑定的模型。</t>
  </si>
  <si>
    <t>The manager agent is not retrieving the specified LLM as expected.</t>
  </si>
  <si>
    <t>Update from 0.5.0 to 0.5.3 and explicitly specify manager_llm attribute</t>
  </si>
  <si>
    <t>https://github.com/crewAIInc/crewAI/issues/222</t>
  </si>
  <si>
    <t>TypeError when using CrewAI 0.30.0.rc6 and CrewAI-Tools 0.2.4</t>
  </si>
  <si>
    <t>工具参数格式问题；docx search tool</t>
  </si>
  <si>
    <t>Incorrect usage of optional with Field</t>
  </si>
  <si>
    <t>Corrected the usage of optional in the docx_search_tool.py to define optional field with Pydantic's field</t>
  </si>
  <si>
    <t>https://github.com/crewAIInc/crewAI-tools/pull/32</t>
  </si>
  <si>
    <t>https://github.com/crewAIInc/crewAI/issues/583</t>
  </si>
  <si>
    <t>Read-only file system error when using AWS Lambda</t>
  </si>
  <si>
    <t>file path</t>
  </si>
  <si>
    <t>AWS' Lambda file system is read-only except for the /tmp directory</t>
  </si>
  <si>
    <t>Add env variable to define directory for storage, ensuring compatibility with Lambda's constraints</t>
  </si>
  <si>
    <t>https://github.com/crewAIInc/crewAI/pull/507</t>
  </si>
  <si>
    <t>https://github.com/crewAIInc/crewAI/issues/502</t>
  </si>
  <si>
    <t>We will not be able to verify the bug fix later; so I will skip this issue</t>
  </si>
  <si>
    <t>Reference is not nullified before removing directory</t>
  </si>
  <si>
    <t>Reset chromadb and nullifies reference before removing directory</t>
  </si>
  <si>
    <t>https://github.com/crewAIInc/crewAI/pull/1724</t>
  </si>
  <si>
    <t>crewai==0.86</t>
  </si>
  <si>
    <t>Error executing tool (delegate work to coworker). Coworker mentioned not found</t>
  </si>
  <si>
    <t>No clear explanation</t>
  </si>
  <si>
    <t>Not clear</t>
  </si>
  <si>
    <t>Latest version</t>
  </si>
  <si>
    <t>https://github.com/crewAIInc/crewAI/issues/1823</t>
  </si>
  <si>
    <t>Will not be able to verify the fix since we can't see the code fix for this issue</t>
  </si>
  <si>
    <t>输出是一个Eum对象，在写入到memory时出现了类型不兼容的问题。
Object of type &lt;Your Enum Type&gt; is not JSON serializable 
(types)</t>
  </si>
  <si>
    <t>Enum cannot be serilizable</t>
  </si>
  <si>
    <t>Enhancing CrewJSONEncoder for enum serialization</t>
  </si>
  <si>
    <t>https://github.com/crewAIInc/crewAI/pull/1752</t>
  </si>
  <si>
    <t>- The patches serialize the enum correctly; however they return obj.value or obj.name which will cause issue in other part of the code. It should return str(obj) to work with other part of the codes.</t>
  </si>
  <si>
    <t>0</t>
  </si>
  <si>
    <t>Model Dependency Issues</t>
  </si>
  <si>
    <t>tokenization-related library</t>
  </si>
  <si>
    <t>Tiktoken is needed but failing during the installation of crewai</t>
  </si>
  <si>
    <t>Add tiktoken as explicit dependency in the requirement for installation</t>
  </si>
  <si>
    <t>https://github.com/crewAIInc/crewAI/pull/1826</t>
  </si>
  <si>
    <t>v.0.86.0-</t>
  </si>
  <si>
    <t>Installation phase</t>
  </si>
  <si>
    <t>- The generated patches tried to fix by fixing the subprocess which still cause issue with tiktoken.
- Agentless is unable to solve dependency issue without being mention in the prompt or the dependency's name mentioned in the error message.</t>
  </si>
  <si>
    <t>- Success to localize the file but could not fix the need of tiktoken</t>
  </si>
  <si>
    <t>Cannot fix environment issue</t>
  </si>
  <si>
    <t>Issue on _invoke_loop</t>
  </si>
  <si>
    <t>Skip test_kickoff_failure</t>
  </si>
  <si>
    <t>https://github.com/crewAIInc/crewAI/pull/1943</t>
  </si>
  <si>
    <t>v.0.98.0-</t>
  </si>
  <si>
    <t>0,25</t>
  </si>
  <si>
    <t>1,25</t>
  </si>
  <si>
    <t>LiteLLM call fails, when human_input set to True</t>
  </si>
  <si>
    <t>用户反馈的消息没有被标上user，会导致litellm调用失败</t>
  </si>
  <si>
    <t>No given user role in the message</t>
  </si>
  <si>
    <t>Modify the feedback handling mechanism</t>
  </si>
  <si>
    <t>https://github.com/crewAIInc/crewAI/pull/2112</t>
  </si>
  <si>
    <t>https://github.com/crewAIInc/crewAI/issues/2111</t>
  </si>
  <si>
    <t>v0.100.0</t>
  </si>
  <si>
    <t>AttributeError: NoneType object has no attribute skip_auto_end_session during crew.kickoff() cleanup</t>
  </si>
  <si>
    <t>Fail during the session termination phase</t>
  </si>
  <si>
    <t>Complete the execution and terminate the session properly</t>
  </si>
  <si>
    <t>https://github.com/crewAIInc/crewAI/pull/2103</t>
  </si>
  <si>
    <t>https://github.com/crewAIInc/crewAI/issues/2102</t>
  </si>
  <si>
    <t>Crew.test() requires OpenAI model and does not support specifying model agent uses if different from openAI model</t>
  </si>
  <si>
    <t>在测试agent的方法中只提供了openai的model选项，不允许使用其他类型的LLM</t>
  </si>
  <si>
    <t>Incosistency between the model running the agent and the model testing the agent</t>
  </si>
  <si>
    <t>Pass the instance of LLM to run the evals</t>
  </si>
  <si>
    <t>https://github.com/crewAIInc/crewAI/pull/2072</t>
  </si>
  <si>
    <t>https://github.com/crewAIInc/crewAI/issues/2067</t>
  </si>
  <si>
    <t>DirectorySearchTool not populating the chromadb properly</t>
  </si>
  <si>
    <t>directory search tool没有正确读取内容并保存在数据库中</t>
  </si>
  <si>
    <t>model/prefix causing liteLLM provider recognition failure</t>
  </si>
  <si>
    <t>Remove model/prefix that cause the failure</t>
  </si>
  <si>
    <t>https://github.com/crewAIInc/crewAI/pull/2108</t>
  </si>
  <si>
    <t>https://github.com/crewAIInc/crewAI/issues/2053</t>
  </si>
  <si>
    <t>Long Term Memory issue</t>
  </si>
  <si>
    <t>Unclear</t>
  </si>
  <si>
    <t>https://github.com/crewAIInc/crewAI/pull/2049</t>
  </si>
  <si>
    <t>https://github.com/crewAIInc/crewAI/issues/2026</t>
  </si>
  <si>
    <t>Unable to save output to a file</t>
  </si>
  <si>
    <t>文件写入工具；写入文件时出现了问题，改用FileWriteTool就可以了，可能和跨平台相关。</t>
  </si>
  <si>
    <t>Fail to save the output file</t>
  </si>
  <si>
    <t>use FileWriteTool</t>
  </si>
  <si>
    <t>https://github.com/crewAIInc/crewAI/pull/2039</t>
  </si>
  <si>
    <t>https://github.com/crewAIInc/crewAI/issues/2015</t>
  </si>
  <si>
    <t>crewai reset-memories -a throws error</t>
  </si>
  <si>
    <t>Fail to reset memory</t>
  </si>
  <si>
    <t>attribute access error when memory systems have not been initialized</t>
  </si>
  <si>
    <t>Enhancing the way memory system attributes are accessed by using getattr()</t>
  </si>
  <si>
    <t>https://github.com/crewAIInc/crewAI/pull/2182</t>
  </si>
  <si>
    <t>https://github.com/crewAIInc/crewAI/issues/2123</t>
  </si>
  <si>
    <t>Agent knowledge-invalid knowledge configuration</t>
  </si>
  <si>
    <t>Configuration Issues</t>
  </si>
  <si>
    <t>Tool Configuration Errors</t>
  </si>
  <si>
    <t>users can not set customized embedder</t>
  </si>
  <si>
    <t>Memory mechanism configuration issue</t>
  </si>
  <si>
    <t>Enhance agent knowledge setup with optional crew embedder</t>
  </si>
  <si>
    <t>https://github.com/crewAIInc/crewAI/pull/2232</t>
  </si>
  <si>
    <t>https://github.com/crewAIInc/crewAI/issues/2164</t>
  </si>
  <si>
    <t>ImportError: cannot import name 'UTC' from 'datetime' when importing crewai in Python 3.10</t>
  </si>
  <si>
    <t>Memory Dependency Issues</t>
  </si>
  <si>
    <t>The datetime is stored in the sqlite3 database as a state record.</t>
  </si>
  <si>
    <t>Missing timezone support for Python 3.10</t>
  </si>
  <si>
    <t>Add timezone handling for Python 3.10</t>
  </si>
  <si>
    <t>https://github.com/crewAIInc/crewAI/pull/2230</t>
  </si>
  <si>
    <t>https://github.com/crewAIInc/crewAI/issues/2171</t>
  </si>
  <si>
    <t>Only the last router will trigger the events, others are ignored</t>
  </si>
  <si>
    <t>Issue with flow execution to accomodate multiple router calls.</t>
  </si>
  <si>
    <t>Substantial enhancements to the flow execution logic to accomodate multiple router calls.</t>
  </si>
  <si>
    <t>https://github.com/crewAIInc/crewAI/pull/2231</t>
  </si>
  <si>
    <t>https://github.com/crewAIInc/crewAI/issues/2175</t>
  </si>
  <si>
    <t>Can not handle the case when model output action and final answer at the same time (Exception)</t>
  </si>
  <si>
    <t>Improve memory retrieval to prioritize recent conversation context</t>
  </si>
  <si>
    <t>https://github.com/crewAIInc/crewAI/pull/2243</t>
  </si>
  <si>
    <t>auto-code-rover</t>
  </si>
  <si>
    <t>Functional-level</t>
  </si>
  <si>
    <t>LLM Metadata Initialization Error, Utility Implementation Issues</t>
  </si>
  <si>
    <t>maybe metadata setting?</t>
  </si>
  <si>
    <t>A missing or None value being processed where an object with an id attribute is expected</t>
  </si>
  <si>
    <t>Handle the case of a None value or ensured the necessary object was properly initialized before accessing the id attribute</t>
  </si>
  <si>
    <t>https://github.com/Josh-XT/AGiXT/pull/1254</t>
  </si>
  <si>
    <t>v.1.6.13</t>
  </si>
  <si>
    <t>Execution phase</t>
  </si>
  <si>
    <t>2,5</t>
  </si>
  <si>
    <t>None of the actions in Prompt Management tab work properly</t>
  </si>
  <si>
    <t>prompt management error</t>
  </si>
  <si>
    <t>https://github.com/Josh-XT/AGiXT/issues/1252</t>
  </si>
  <si>
    <t>Command execution broken in chains</t>
  </si>
  <si>
    <t>Missing or malfunctioning code responsible for outputing execution success and command results in task chains</t>
  </si>
  <si>
    <t>https://github.com/Josh-XT/AGiXT/issues/1250</t>
  </si>
  <si>
    <t>Chain responses overwritten if the same chain is nested</t>
  </si>
  <si>
    <t>一个chain的输出覆盖了另一个chain的输出导致出错</t>
  </si>
  <si>
    <t>Lack of unique ID for chain responses, particularly when chain is nested</t>
  </si>
  <si>
    <t>Assign separate IDs for chain responses</t>
  </si>
  <si>
    <t>https://github.com/Josh-XT/AGiXT/pull/1192</t>
  </si>
  <si>
    <t>https://github.com/Josh-XT/AGiXT/issues/1182</t>
  </si>
  <si>
    <t>The explanation is not clear.</t>
  </si>
  <si>
    <t>422 HTTP error Unprocessable entitiy</t>
  </si>
  <si>
    <t>这个learn from GITHUB是一个往long-term memory中塞东西的操作，然后出现了HTTP错误 (source)</t>
  </si>
  <si>
    <t>Typo in the code, a misplace comma causing the error</t>
  </si>
  <si>
    <t>https://github.com/Josh-XT/AGiXT/issues/1081</t>
  </si>
  <si>
    <t>websearch tool实现时的一个错误</t>
  </si>
  <si>
    <t>mismatch in data types between the expected integer and actual string being passed</t>
  </si>
  <si>
    <t>Ensure type consistency by converting the string to an integer</t>
  </si>
  <si>
    <t>https://github.com/Josh-XT/AGiXT/pull/1031</t>
  </si>
  <si>
    <t>1,5</t>
  </si>
  <si>
    <t>Application error: a client-side exception has occurred</t>
  </si>
  <si>
    <t>not being able to locate the Python executable path due to an incorrect or missing configuration.</t>
  </si>
  <si>
    <t>ensure that the correct Python path is set within the environment variables, allowing the system to correctly execute Python scripts.</t>
  </si>
  <si>
    <t>https://github.com/Josh-XT/AGiXT/pull/1049</t>
  </si>
  <si>
    <t>https://github.com/Josh-XT/AGiXT/issues/1048</t>
  </si>
  <si>
    <t>Still trying to figure out how to setup Vicuna</t>
  </si>
  <si>
    <t>text to speech</t>
  </si>
  <si>
    <t>the code incorrectly assumes the value will always be a string.</t>
  </si>
  <si>
    <r>
      <t xml:space="preserve">handle booleans properly, such as by first checking the type before calling </t>
    </r>
    <r>
      <rPr>
        <sz val="11"/>
        <color theme="1"/>
        <rFont val="Calibri"/>
        <family val="2"/>
        <scheme val="minor"/>
      </rPr>
      <t>.lower()</t>
    </r>
  </si>
  <si>
    <t>https://github.com/Josh-XT/AGiXT/pull/1027</t>
  </si>
  <si>
    <t>- wrong localization</t>
  </si>
  <si>
    <t>AGIXT + Koboldcpp + GGUF models = nonsense generation</t>
  </si>
  <si>
    <t>Unclear System Prompt, Prompt-related issues</t>
  </si>
  <si>
    <t>Should add prompt prefix and suffix for kobold</t>
  </si>
  <si>
    <t>a compatibility or configuration problem between the models, leading to incorrect outputs.</t>
  </si>
  <si>
    <t>adjusting the model configuration or ensuring proper compatibility between the AGiXT, Koboldcpp, and GGUF models.</t>
  </si>
  <si>
    <t>https://github.com/Josh-XT/AGiXT/pull/1078</t>
  </si>
  <si>
    <t>https://github.com/Josh-XT/AGiXT/issues/1023</t>
  </si>
  <si>
    <t>Can't access the UI if the version below v.1.6 (can't sign in or create an account with MFA).</t>
  </si>
  <si>
    <t>AttributeError: 'FileReader' object has no attribute 'workspace_restricted'</t>
  </si>
  <si>
    <t>在将文件写入memory的时候出现了AttributeError: 'FileReader' object has no attribute 'workspace_restricted' (logic)</t>
  </si>
  <si>
    <t>The FileReader class lacks the workspace_restricted attribute, causing the error when the method write_file_to_memory is invoked.</t>
  </si>
  <si>
    <t>Adding the missing workspace_restricted attribute in the relevant class or method.</t>
  </si>
  <si>
    <t>https://github.com/Josh-XT/AGiXT/pull/932</t>
  </si>
  <si>
    <t>https://github.com/Josh-XT/AGiXT/issues/930</t>
  </si>
  <si>
    <t>ModuleNotFoundError: No module named 'nomic.gpt4all'</t>
  </si>
  <si>
    <t>Incompatible libraries with LLM providers</t>
  </si>
  <si>
    <t>Model provider library</t>
  </si>
  <si>
    <r>
      <t xml:space="preserve">The module </t>
    </r>
    <r>
      <rPr>
        <sz val="11"/>
        <color theme="1"/>
        <rFont val="Calibri"/>
        <family val="2"/>
        <scheme val="minor"/>
      </rPr>
      <t>nomic.gpt4all</t>
    </r>
    <r>
      <rPr>
        <sz val="11"/>
        <color rgb="FF000000"/>
        <rFont val="Calibri"/>
        <family val="2"/>
        <scheme val="minor"/>
      </rPr>
      <t xml:space="preserve"> is missing or not properly installed, and the error occurs due to a misconfiguration in handling string objects in the agent's configuration.</t>
    </r>
  </si>
  <si>
    <t>Install the missing module and review the configuration handling for string objects to ensure it doesn’t attempt to call attributes inappropriate for strings.</t>
  </si>
  <si>
    <t>https://github.com/Josh-XT/AGiXT/issues/856</t>
  </si>
  <si>
    <t>TypeError: string indices must be integers</t>
  </si>
  <si>
    <t>Unclear; patch就是删了一个文件再把它加回去，不知道在干嘛</t>
  </si>
  <si>
    <t>The error occurs due to incorrect handling of a string object as if it were a dictionary, leading to an invalid operation when trying to access an index.</t>
  </si>
  <si>
    <t>ensure that only dictionaries are accessed with string indices, and correct the logic to handle string data appropriately.</t>
  </si>
  <si>
    <t>https://github.com/Josh-XT/AGiXT/pull/835</t>
  </si>
  <si>
    <t>https://github.com/Josh-XT/AGiXT/issues/833</t>
  </si>
  <si>
    <t>str directories error</t>
  </si>
  <si>
    <t>调用clone仓库的工具的时候，出现了path exists but not empty的错误，覆盖了一个已存在的文件夹</t>
  </si>
  <si>
    <t>process directories as strings rather than paths, leading to an invalid operation.</t>
  </si>
  <si>
    <t>properly handle directory paths as filesystem objects instead of strings.</t>
  </si>
  <si>
    <t>https://github.com/Josh-XT/AGiXT/pull/788</t>
  </si>
  <si>
    <t>https://github.com/Josh-XT/AGiXT/issues/784</t>
  </si>
  <si>
    <t>Try to run a chain in Smart Task without research, instead it kept researching when running</t>
  </si>
  <si>
    <t>set without_research but actually research</t>
  </si>
  <si>
    <t>Incorrectly executes research despite the user's explicit selection to run it without research</t>
  </si>
  <si>
    <t>Ensure that the system respects the user's input, executing the chain without initiating any research when the "without research" option is chosen.</t>
  </si>
  <si>
    <t>https://github.com/Josh-XT/AGiXT/pull/772</t>
  </si>
  <si>
    <t>https://github.com/Josh-XT/AGiXT/issues/769</t>
  </si>
  <si>
    <t>Smart Task chain with research stops</t>
  </si>
  <si>
    <t>there was no point in continuing if the expected result did not come. It understands that an exception is not the expected result and stops.</t>
  </si>
  <si>
    <t>The task chain halts due to an error in the system when a task fails.</t>
  </si>
  <si>
    <t>Ensure that error handling is improved, allowing the chain to continue executing even after encountering certain errors.</t>
  </si>
  <si>
    <t>https://github.com/Josh-XT/AGiXT/issues/767</t>
  </si>
  <si>
    <t>After importing agent with .json KeyError 'chat_history'</t>
  </si>
  <si>
    <r>
      <t xml:space="preserve">The import process is missing the </t>
    </r>
    <r>
      <rPr>
        <sz val="11"/>
        <color theme="1"/>
        <rFont val="Calibri"/>
        <family val="2"/>
        <scheme val="minor"/>
      </rPr>
      <t>chat_history</t>
    </r>
    <r>
      <rPr>
        <sz val="11"/>
        <color rgb="FF000000"/>
        <rFont val="Calibri"/>
        <family val="2"/>
        <scheme val="minor"/>
      </rPr>
      <t xml:space="preserve"> key in the JSON file, which is causing the error when the program tries to access it.</t>
    </r>
  </si>
  <si>
    <r>
      <t xml:space="preserve">Ensure the </t>
    </r>
    <r>
      <rPr>
        <sz val="11"/>
        <color theme="1"/>
        <rFont val="Calibri"/>
        <family val="2"/>
        <scheme val="minor"/>
      </rPr>
      <t>chat_history</t>
    </r>
    <r>
      <rPr>
        <sz val="11"/>
        <color rgb="FF000000"/>
        <rFont val="Calibri"/>
        <family val="2"/>
        <scheme val="minor"/>
      </rPr>
      <t xml:space="preserve"> key is correctly included during the export of the agent to JSON, and add error handling for missing keys during import.</t>
    </r>
  </si>
  <si>
    <t>https://github.com/Josh-XT/AGiXT/pull/765</t>
  </si>
  <si>
    <t>https://github.com/Josh-XT/AGiXT/issues/763</t>
  </si>
  <si>
    <t>Override agent doesn't show agent in the chain</t>
  </si>
  <si>
    <t>The system fails to properly display the overridden agent name in the console during chain execution.</t>
  </si>
  <si>
    <t>Update the logging mechanism to correctly reflect the agent name being used in the chain.</t>
  </si>
  <si>
    <t>https://github.com/Josh-XT/AGiXT/issues/759</t>
  </si>
  <si>
    <t>Error during multistep task execution</t>
  </si>
  <si>
    <t>Chain_data can be seen as a message list but used as wrong type(dict).</t>
  </si>
  <si>
    <t>The error occurs in Chain.py when trying to access chain_data['id']. The error mentioned that chain_data is a list but the system was trying to access it like a Dictionary.</t>
  </si>
  <si>
    <t>Fix crash thread when trying to read ipynb files.</t>
  </si>
  <si>
    <t>https://github.com/Josh-XT/AGiXT/pull/1284</t>
  </si>
  <si>
    <t>https://github.com/Josh-XT/AGiXT/issues/1283</t>
  </si>
  <si>
    <t>Not clear on how to reproduce the issue</t>
  </si>
  <si>
    <t>Fail to store the configuration</t>
  </si>
  <si>
    <t>Issue in saving the chain command</t>
  </si>
  <si>
    <t>Develop AGiXT chain that stores the settings for chain command</t>
  </si>
  <si>
    <t>https://github.com/Josh-XT/AGiXT/commit/e04a69deb986cb41827b57c23d8cc4a9867b8cbc</t>
  </si>
  <si>
    <t>- The patches still not able to make agixt properly save the command's extension
- The patches cause agixt to keep loading and never finish</t>
  </si>
  <si>
    <t>Empty chain name</t>
  </si>
  <si>
    <t>validation error when chains has empty name</t>
  </si>
  <si>
    <t>Validation check to ensure chain_name parameter is not empty</t>
  </si>
  <si>
    <t>https://github.com/Josh-XT/AGiXT/pull/1377</t>
  </si>
  <si>
    <t>v.1.6.31</t>
  </si>
  <si>
    <t>Notes:
- The patches are not related to the issue</t>
  </si>
  <si>
    <t>0,3333333333</t>
  </si>
  <si>
    <t>0,5</t>
  </si>
  <si>
    <t>unpack too many values from the function</t>
  </si>
  <si>
    <t>Chain query cannot handle too many values</t>
  </si>
  <si>
    <t>handle more parameters in chain query</t>
  </si>
  <si>
    <t>https://github.com/Josh-XT/AGiXT/pull/1374</t>
  </si>
  <si>
    <t>v.1.6.31--</t>
  </si>
  <si>
    <t>Implement IDs for Chains in GQL</t>
  </si>
  <si>
    <t>Empty chain ID</t>
  </si>
  <si>
    <t>No IDs or UUIDs being returned for chains in GQL</t>
  </si>
  <si>
    <t>Implement IDs for chains in GQL</t>
  </si>
  <si>
    <t>https://github.com/Josh-XT/AGiXT/pull/1376</t>
  </si>
  <si>
    <t>https://github.com/Josh-XT/AGiXT/issues/1370</t>
  </si>
  <si>
    <t>Not resetting workspace when disconnecting Evo Thread</t>
  </si>
  <si>
    <t>Resetting workspace when disconnecting Evo Thread</t>
  </si>
  <si>
    <t>https://github.com/agentcoinorg/evo.ninja/pull/654</t>
  </si>
  <si>
    <t>- Agentless cannot fix typescript</t>
  </si>
  <si>
    <t>inconsistent state transition that breaks the system</t>
  </si>
  <si>
    <t>Refactor and fix state transition</t>
  </si>
  <si>
    <t>https://github.com/agentcoinorg/evo.ninja/pull/641</t>
  </si>
  <si>
    <t>Token length does not match the length in .env.</t>
  </si>
  <si>
    <t>https://github.com/agentcoinorg/evo.ninja/pull/640</t>
  </si>
  <si>
    <t>Evo不能回答自己的persona</t>
  </si>
  <si>
    <t>https://github.com/agentcoinorg/evo.ninja/pull/549</t>
  </si>
  <si>
    <t>1,3</t>
  </si>
  <si>
    <t>https://github.com/agentcoinorg/evo.ninja/pull/505</t>
  </si>
  <si>
    <t>0,6</t>
  </si>
  <si>
    <t>The model sometimes confuse errors with successes</t>
  </si>
  <si>
    <t>执行错误的message，其type字段也会被设置为success，导致模型误以为自己已经完成了目标</t>
  </si>
  <si>
    <t>https://github.com/agentcoinorg/evo.ninja/pull/274</t>
  </si>
  <si>
    <t>https://github.com/agentcoinorg/evo.ninja/issues/261</t>
  </si>
  <si>
    <t>Enable GPT4 Turbo</t>
  </si>
  <si>
    <t>Unsupported or Incompatible Model Issues</t>
  </si>
  <si>
    <t>不支持特定模型，删了</t>
  </si>
  <si>
    <t>Cannot support GPT4 Turbo</t>
  </si>
  <si>
    <t>Add support for GPT4 Turbo</t>
  </si>
  <si>
    <t>https://github.com/agentcoinorg/evo.ninja/pull/517</t>
  </si>
  <si>
    <t>https://github.com/agentcoinorg/evo.ninja/issues/462</t>
  </si>
  <si>
    <t>The model will sometimes confuse errors with successes</t>
  </si>
  <si>
    <t>和前面的issue重复了，issue link都是同一个</t>
  </si>
  <si>
    <t>Unclear explanation</t>
  </si>
  <si>
    <t>return error when client invocation fails in executeScript</t>
  </si>
  <si>
    <t>Missing some directory</t>
  </si>
  <si>
    <t>Create the directory</t>
  </si>
  <si>
    <t>https://github.com/Pythagora-io/pythagora/commit/5a6c6a28ebfdb1f781370c26e616e82edef66501</t>
  </si>
  <si>
    <t>- Agentless cannot handle javascript codes</t>
  </si>
  <si>
    <t>- can't fix javascript codes</t>
  </si>
  <si>
    <t>Prompt setting error</t>
  </si>
  <si>
    <t>Missing language parameter</t>
  </si>
  <si>
    <t>Add language parameter support to generate_subtopic_report_prompt</t>
  </si>
  <si>
    <t>https://github.com/assafelovic/gpt-researcher/pull/1029</t>
  </si>
  <si>
    <t>v.3.1.5</t>
  </si>
  <si>
    <t>- Pretty straight forward -&gt; add language in the config
- Many similar patches</t>
  </si>
  <si>
    <t>- These 2 generated patches are similar</t>
  </si>
  <si>
    <t>1</t>
  </si>
  <si>
    <t>Error when trying to save the output to pdf</t>
  </si>
  <si>
    <t>保存pdf时遇到了Hardcoded path的问题，导致无法正确保存 (output storage)</t>
  </si>
  <si>
    <t>Hardcoded path</t>
  </si>
  <si>
    <t>Use os.path to make the CSS file path relative to the current Python file's location instead of using a hardcoded path</t>
  </si>
  <si>
    <t>https://github.com/assafelovic/gpt-researcher/pull/1071</t>
  </si>
  <si>
    <t>https://github.com/assafelovic/gpt-researcher/issues/1008</t>
  </si>
  <si>
    <t>Deep research - Error code: 400 - Invalid 'message[0].content' : string too long</t>
  </si>
  <si>
    <t>Issue with crossing token limit</t>
  </si>
  <si>
    <t>Improve overall planning and research performance</t>
  </si>
  <si>
    <t>https://github.com/assafelovic/gpt-researcher/pull/1195</t>
  </si>
  <si>
    <t>https://github.com/assafelovic/gpt-researcher/issues/1196</t>
  </si>
  <si>
    <t>Running the python module in local mode still require Tavily retriever to be setup</t>
  </si>
  <si>
    <t>Tavily retreiver still need to be setup when running in local mode</t>
  </si>
  <si>
    <t>Require tavily retriever to be setup</t>
  </si>
  <si>
    <t>Update tavily_search.py</t>
  </si>
  <si>
    <t>https://github.com/cnukaus/gpt-researcher/pull/1</t>
  </si>
  <si>
    <t>https://github.com/assafelovic/gpt-researcher/issues/1111</t>
  </si>
  <si>
    <t>Using fireworks models in the example collab notebook throws an OpenAI API error</t>
  </si>
  <si>
    <t>Broken configuration link</t>
  </si>
  <si>
    <t>Fixed broken configuration link in LLMs.md</t>
  </si>
  <si>
    <t>https://github.com/assafelovic/gpt-researcher/pull/1121</t>
  </si>
  <si>
    <t>https://github.com/assafelovic/gpt-researcher/issues/1108</t>
  </si>
  <si>
    <t>Poetry install broken by new Gigachat dependency</t>
  </si>
  <si>
    <t>根因是用了过时的OPENAI库，不支持temperature参数</t>
  </si>
  <si>
    <t>Dependency cause OpenAI parameter error</t>
  </si>
  <si>
    <t>Update dependency to fix OpenAi parameter error</t>
  </si>
  <si>
    <t>https://github.com/assafelovic/gpt-researcher/pull/1161</t>
  </si>
  <si>
    <t>https://github.com/assafelovic/gpt-researcher/issues/1106</t>
  </si>
  <si>
    <t>Add support for Deepseek r1 model</t>
  </si>
  <si>
    <t>Missing support for Deepseek r1 model</t>
  </si>
  <si>
    <t>https://github.com/assafelovic/gpt-researcher/pull/1056</t>
  </si>
  <si>
    <t>https://github.com/assafelovic/gpt-researcher/issues/1104</t>
  </si>
  <si>
    <t>Report introduction/conclusion not respecting language configuration</t>
  </si>
  <si>
    <t>The language remain in English even though the language is set to different language</t>
  </si>
  <si>
    <t>Apply language configuration</t>
  </si>
  <si>
    <t>https://github.com/assafelovic/gpt-researcher/pull/1101</t>
  </si>
  <si>
    <t>https://github.com/assafelovic/gpt-researcher/issues/1100</t>
  </si>
  <si>
    <t>Strategic LLMs for Anthropic models are broken because its langchain doesn't support max_tokens = None</t>
  </si>
  <si>
    <t>Unspported parameters，例如Anthropic models不支持max token参数</t>
  </si>
  <si>
    <t>Not supporting max_tokens = None for Anthropic</t>
  </si>
  <si>
    <t>Add strategic token limit for Anthropic</t>
  </si>
  <si>
    <t>https://github.com/assafelovic/gpt-researcher/pull/1032</t>
  </si>
  <si>
    <t>https://github.com/assafelovic/gpt-researcher/issues/1022</t>
  </si>
  <si>
    <t>VertexAI Ported - content getting searched, but the final report is not generated</t>
  </si>
  <si>
    <t>讨论中断了，不知道最后是否解决了</t>
  </si>
  <si>
    <t>Missing appropriate embedding</t>
  </si>
  <si>
    <t>Add embedding providers</t>
  </si>
  <si>
    <t>https://github.com/assafelovic/gpt-researcher/pull/965</t>
  </si>
  <si>
    <t>https://github.com/assafelovic/gpt-researcher/issues/934</t>
  </si>
  <si>
    <t>Cannot set retriever to duckduckgo or others</t>
  </si>
  <si>
    <t>cannot change retriever</t>
  </si>
  <si>
    <t>Missing third party configuration</t>
  </si>
  <si>
    <t>Add proper third party configuration support</t>
  </si>
  <si>
    <t>https://github.com/assafelovic/gpt-researcher/pull/925</t>
  </si>
  <si>
    <t>https://github.com/assafelovic/gpt-researcher/issues/922</t>
  </si>
  <si>
    <t>SUMMARY_TOKEN_LIMIT not working properly</t>
  </si>
  <si>
    <t>Token usage misconfiguration</t>
  </si>
  <si>
    <t>cannot set the max token of summary action</t>
  </si>
  <si>
    <t>SUMMARY_TOKEN_LIMIT not working</t>
  </si>
  <si>
    <t>Use summary token limit for summarization</t>
  </si>
  <si>
    <t>https://github.com/assafelovic/gpt-researcher/pull/915</t>
  </si>
  <si>
    <t>https://github.com/assafelovic/gpt-researcher/issues/910</t>
  </si>
  <si>
    <t>SearXNG: Exception: Tavily API key not found. Please set the TAVILY_API_KEY environment variable</t>
  </si>
  <si>
    <t>Searx应该被更新为SearXNG</t>
  </si>
  <si>
    <t>Searx retriever issue</t>
  </si>
  <si>
    <t>Searx retriever refactoring</t>
  </si>
  <si>
    <t>https://github.com/assafelovic/gpt-researcher/pull/960</t>
  </si>
  <si>
    <t>https://github.com/assafelovic/gpt-researcher/issues/909</t>
  </si>
  <si>
    <t>KeyError: 'FAST_LLM' - Connection closed</t>
  </si>
  <si>
    <t>wrong model binding configuration(caused by outdated configuration)</t>
  </si>
  <si>
    <t>Missing LLM configuration</t>
  </si>
  <si>
    <t>Add the appropriate LLM configuration</t>
  </si>
  <si>
    <t>https://github.com/assafelovic/gpt-researcher/pull/902</t>
  </si>
  <si>
    <t>https://github.com/assafelovic/gpt-researcher/issues/901</t>
  </si>
  <si>
    <t>KeyError: 'FAST_LLM' - Struggling to make the first search</t>
  </si>
  <si>
    <t>Detailed Report - Prompt leaks and unecessary content</t>
  </si>
  <si>
    <t>No appropriate filtering and cleaning steps</t>
  </si>
  <si>
    <t>General refactoring of codebase</t>
  </si>
  <si>
    <t>https://github.com/assafelovic/gpt-researcher/pull/895</t>
  </si>
  <si>
    <t>https://github.com/assafelovic/gpt-researcher/issues/892</t>
  </si>
  <si>
    <t>TypeError: get_default_retriever() missing 1 required positional argument 'retriever'</t>
  </si>
  <si>
    <t>can't initialize retriever</t>
  </si>
  <si>
    <t>User "serper" instead of "googleSerp"</t>
  </si>
  <si>
    <t>https://github.com/assafelovic/gpt-researcher/commit/7977d0a603523adee9e6759827dae37754a71664</t>
  </si>
  <si>
    <t>https://github.com/assafelovic/gpt-researcher/issues/827</t>
  </si>
  <si>
    <t>incorrect command</t>
  </si>
  <si>
    <t>Missing npx command in packages.json</t>
  </si>
  <si>
    <t>Add missing npx command to allow container to build and run properly</t>
  </si>
  <si>
    <t>https://github.com/superagent-ai/superagent/pull/958</t>
  </si>
  <si>
    <t>v.02.28</t>
  </si>
  <si>
    <t>- Agentless able to edit dockerfile to try to fix the issue</t>
  </si>
  <si>
    <t>It cannot solve the issue if it is related to the missing library that causing a failure in the agent's installation. Auto code rover will not give instruction to do pip installation, edit package.json or something similar.</t>
  </si>
  <si>
    <t>Updating LLM doesn't work properly</t>
  </si>
  <si>
    <t>不知所云</t>
  </si>
  <si>
    <t>LLM record remain unchanged</t>
  </si>
  <si>
    <t>Update LLM record when user changes it</t>
  </si>
  <si>
    <t>https://github.com/superagent-ai/superagent/pull/961</t>
  </si>
  <si>
    <t>https://github.com/superagent-ai/superagent/issues/954</t>
  </si>
  <si>
    <t>outputSchema doesn't work for Anthropic SAML Node</t>
  </si>
  <si>
    <t>LLM metadata setting errors</t>
  </si>
  <si>
    <t>function calling agent fail</t>
  </si>
  <si>
    <t>reset metadata for function calling agent</t>
  </si>
  <si>
    <t>https://github.com/superagent-ai/superagent/pull/941</t>
  </si>
  <si>
    <t>https://github.com/superagent-ai/superagent/issues/940</t>
  </si>
  <si>
    <t>When request size is relatively big, track_agnet_invocation throws error</t>
  </si>
  <si>
    <t>当request size太大的时候，track_agent_invocation throws error</t>
  </si>
  <si>
    <t>No appropriate error handler</t>
  </si>
  <si>
    <t>Provide logging error</t>
  </si>
  <si>
    <t>https://github.com/superagent-ai/superagent/pull/944</t>
  </si>
  <si>
    <t>https://github.com/superagent-ai/superagent/issues/935</t>
  </si>
  <si>
    <t>Updating use_ for in SuperRag re-indexes the embeddings</t>
  </si>
  <si>
    <t>用户更改了use_for参数后，superrag会重新index所有的embedding</t>
  </si>
  <si>
    <t>User cannot update use_for without superrag re-indexing the embeddings</t>
  </si>
  <si>
    <t>Update tool when the description is changed</t>
  </si>
  <si>
    <t>https://github.com/superagent-ai/superagent/pull/886</t>
  </si>
  <si>
    <t>https://github.com/superagent-ai/superagent/issues/869</t>
  </si>
  <si>
    <t>Running invoke after saving input fails</t>
  </si>
  <si>
    <t>在保存多次的时候可能出现下面的错误：
AttributeError: 'NoneType' object has no attribute 'get' (not use the user specified LLM)</t>
  </si>
  <si>
    <t>Multiple savings are triggered</t>
  </si>
  <si>
    <t>https://github.com/superagent-ai/superagent/pull/844</t>
  </si>
  <si>
    <t>https://github.com/superagent-ai/superagent/issues/843</t>
  </si>
  <si>
    <t>模型在改代码的时候给了多个diff，导致冲突</t>
  </si>
  <si>
    <t>Key errors when validating diffs</t>
  </si>
  <si>
    <t>Enhance preprompt, improved parsing logic</t>
  </si>
  <si>
    <t>https://github.com/AntonOsika/gpt-engineer/pull/1198</t>
  </si>
  <si>
    <t>117/130</t>
  </si>
  <si>
    <t>129/130</t>
  </si>
  <si>
    <t>- Wrong localization of the issues
- Agentless modify file that is not related to the issue</t>
  </si>
  <si>
    <t>- Wrong localization of the issues
- SWE-Agent modify file that is not related to the issue</t>
  </si>
  <si>
    <t>- fail to localize</t>
  </si>
  <si>
    <t>The python interpreter tool depends on a library(tenacity) for retrying when error occurs</t>
  </si>
  <si>
    <t>Missing tenacity module</t>
  </si>
  <si>
    <t>Add tenacity in runtime.txt</t>
  </si>
  <si>
    <t>https://github.com/InternLM/lagent/pull/280</t>
  </si>
  <si>
    <t>Can't display image</t>
  </si>
  <si>
    <t>好像是和Streamlit的兼容问题，导致模型生成的图片无法显示 (output display)</t>
  </si>
  <si>
    <t>Streamlit Issue</t>
  </si>
  <si>
    <t>No official solution</t>
  </si>
  <si>
    <t>https://github.com/InternLM/lagent/pull/259</t>
  </si>
  <si>
    <t>https://github.com/InternLM/lagent/issues/243</t>
  </si>
  <si>
    <t>The griffe is used to parse the functions and turn them into tools.</t>
  </si>
  <si>
    <t>A break due to library update</t>
  </si>
  <si>
    <t>remove the 'griffe.enumerations' module</t>
  </si>
  <si>
    <t>https://github.com/InternLM/lagent/pull/245</t>
  </si>
  <si>
    <t>- How do we calculate the file-level and function-level if the result of agentless is an instruction to install pip griffe?</t>
  </si>
  <si>
    <t>Agent seems not able to instruct the need of installing griffe or put this library in the runtime.txt</t>
  </si>
  <si>
    <t>Incompatible transformer version</t>
  </si>
  <si>
    <t>Wrong requirements</t>
  </si>
  <si>
    <t>Update the requirements</t>
  </si>
  <si>
    <t>- Fail to fix the issue</t>
  </si>
  <si>
    <t>Agent seems not able to instruct the need of upgrading transformer library in the optional.txt, current transformer cannot work with eos_token_sensor</t>
  </si>
  <si>
    <t>Aioify dependency issue with gradio</t>
  </si>
  <si>
    <t>Related to the async invocation of tools</t>
  </si>
  <si>
    <t>module-wrapper 0.3.0 is no longer compatible with gradio and breaks mind search</t>
  </si>
  <si>
    <t>Change to asyncer.asyncify</t>
  </si>
  <si>
    <t>https://github.com/InternLM/lagent/pull/274</t>
  </si>
  <si>
    <t>https://github.com/InternLM/lagent/issues/272</t>
  </si>
  <si>
    <t>No claude 3.5 support</t>
  </si>
  <si>
    <t>cannot support claude 3.5</t>
  </si>
  <si>
    <t>add claude 3.5</t>
  </si>
  <si>
    <t>https://github.com/InternLM/lagent/pull/283</t>
  </si>
  <si>
    <t>https://github.com/InternLM/lagent/issues/260</t>
  </si>
  <si>
    <t>Need to pass argument trust_remote_code=True</t>
  </si>
  <si>
    <t>Missing Parameters，从huggingface上加载模型的时候没有设置trust_remote_code为true</t>
  </si>
  <si>
    <t>Missing argument</t>
  </si>
  <si>
    <t>Pass argument trust_remote_code=True</t>
  </si>
  <si>
    <t>https://github.com/InternLM/lagent/issues/49</t>
  </si>
  <si>
    <t>Swe-agent</t>
  </si>
  <si>
    <t>Valid Patch Number</t>
  </si>
  <si>
    <t>Fix Rate</t>
  </si>
  <si>
    <t>failed localization number</t>
  </si>
  <si>
    <t>Valid Patch number</t>
  </si>
  <si>
    <t>NoneType object has no attribute session_process</t>
  </si>
  <si>
    <t>None reference when accessing session_process</t>
  </si>
  <si>
    <t>proper initialization or handling of session_process to prevent NoneType error</t>
  </si>
  <si>
    <t>https://github.com/princeton-nlp/SWE-agent/pull/776</t>
  </si>
  <si>
    <t>https://github.com/princeton-nlp/SWE-agent/issues/771</t>
  </si>
  <si>
    <t>No clear explanation about how to reproduce the issue</t>
  </si>
  <si>
    <t>IndexError when submitting a blank space in "human mode"</t>
  </si>
  <si>
    <t>Lack of validation on user input</t>
  </si>
  <si>
    <t>Add validation to handle empty input</t>
  </si>
  <si>
    <t>https://github.com/princeton-nlp/SWE-agent/pull/749</t>
  </si>
  <si>
    <t>https://github.com/princeton-nlp/SWE-agent/issues/748</t>
  </si>
  <si>
    <t>Lack of __init__.py in utils</t>
  </si>
  <si>
    <t>Adding __init__.py to the utils directory and updating the build configuration</t>
  </si>
  <si>
    <t>https://github.com/princeton-nlp/SWE-agent/pull/742</t>
  </si>
  <si>
    <t>v0.6.1</t>
  </si>
  <si>
    <t>Duplicate code within the utils.py</t>
  </si>
  <si>
    <t>Bad code smell</t>
  </si>
  <si>
    <t>Redundant code blocks that involves unnecessary code affecting functionality</t>
  </si>
  <si>
    <t>Consolidating the repeated logic</t>
  </si>
  <si>
    <t>https://github.com/princeton-nlp/SWE-agent/pull/729</t>
  </si>
  <si>
    <t>https://github.com/princeton-nlp/SWE-agent/issues/728</t>
  </si>
  <si>
    <t>This is not error; it's just duplicated codes.</t>
  </si>
  <si>
    <t>CostLimitExceededErrror due to the model exceeds the cost limit</t>
  </si>
  <si>
    <t>当模型重试某个action的时候，没有处理CostLimitExceededError; 其实应该属于incorrect model output handler</t>
  </si>
  <si>
    <t>Lack of exception handling for the CostLimitExceededError</t>
  </si>
  <si>
    <t>Catch the error and handle it within retry logic</t>
  </si>
  <si>
    <t>https://github.com/princeton-nlp/SWE-agent/pull/682</t>
  </si>
  <si>
    <t>https://github.com/princeton-nlp/SWE-agent/issues/681</t>
  </si>
  <si>
    <t>Failed commands breaking the return code capture</t>
  </si>
  <si>
    <t>有时会使用错误格式的bash命令，导致崩溃</t>
  </si>
  <si>
    <t>Unproper exit statuses when handle of uncommon commands</t>
  </si>
  <si>
    <t>Correctly capture exit codes even when the commands fail</t>
  </si>
  <si>
    <t>https://github.com/princeton-nlp/SWE-agent/issues/642</t>
  </si>
  <si>
    <t>https://github.com/princeton-nlp/SWE-agent/issues/630</t>
  </si>
  <si>
    <t>ValueError due to invalid command</t>
  </si>
  <si>
    <t>在执行命令的时候，会出现Could not find process done marker in last line</t>
  </si>
  <si>
    <t>Both stderr and stdout are written to, leading to a misordering of output</t>
  </si>
  <si>
    <t>Adding a timeout and searching all lines for the exit code</t>
  </si>
  <si>
    <t>https://github.com/princeton-nlp/SWE-agent/pull/596</t>
  </si>
  <si>
    <t>https://github.com/princeton-nlp/SWE-agent/issues/595</t>
  </si>
  <si>
    <t>linter blocks editing file due to pre-existing linter error</t>
  </si>
  <si>
    <t>当修改代码时，linter应该只阻止会引入新error的操作</t>
  </si>
  <si>
    <t>Incorrectly blocks editing due to old errors</t>
  </si>
  <si>
    <t>Modify the linter to only block editing when new errors are introduced</t>
  </si>
  <si>
    <t>https://github.com/princeton-nlp/SWE-agent/pull/593</t>
  </si>
  <si>
    <t>https://github.com/princeton-nlp/SWE-agent/issues/560</t>
  </si>
  <si>
    <t>React proxy errors even though flask is running</t>
  </si>
  <si>
    <t>incorrect ip address</t>
  </si>
  <si>
    <t>Use the 'localhost', instead of '127.0.0.1'</t>
  </si>
  <si>
    <t>Change localhost to 127.0.01</t>
  </si>
  <si>
    <t>https://github.com/princeton-nlp/SWE-agent/pull/506</t>
  </si>
  <si>
    <t>https://github.com/princeton-nlp/SWE-agent/issues/449</t>
  </si>
  <si>
    <t>It's just related to proxy of backend port not the agent itself.</t>
  </si>
  <si>
    <t>Cannot change Setup Script in web UI</t>
  </si>
  <si>
    <t>incorrect input handling - missing default value</t>
  </si>
  <si>
    <t>Fix the input component to handle and update the script path</t>
  </si>
  <si>
    <t>https://github.com/princeton-nlp/SWE-agent/pull/334</t>
  </si>
  <si>
    <t>https://github.com/princeton-nlp/SWE-agent/issues/333</t>
  </si>
  <si>
    <t>No such container swe-agent</t>
  </si>
  <si>
    <t>Cannot find the container and throw an error</t>
  </si>
  <si>
    <t>Catch if the container is not found and retry after wait</t>
  </si>
  <si>
    <t>https://github.com/princeton-nlp/SWE-agent/pull/323</t>
  </si>
  <si>
    <t>https://github.com/princeton-nlp/SWE-agent/issues/322</t>
  </si>
  <si>
    <t>No clear explanation about how to reproduce the issue.</t>
  </si>
  <si>
    <t>Python version being incorrectly set in some cases</t>
  </si>
  <si>
    <t>python version</t>
  </si>
  <si>
    <t>Installation issue when using default python version due to breaking changes in setuptools</t>
  </si>
  <si>
    <t>Ensure the correct Python version is selected in the case that the instance's conda environment is being created using the --file variants</t>
  </si>
  <si>
    <t>https://github.com/princeton-nlp/SWE-agent/pull/271</t>
  </si>
  <si>
    <t>https://github.com/princeton-nlp/SWE-agent/issues/270</t>
  </si>
  <si>
    <t>BadRequestError in OpenAI API isn't always context window exceeded error.</t>
  </si>
  <si>
    <t>在query时，OPENAI返回的Badrequest消息都被当作了context exceed error，但其实不是 (Exception)</t>
  </si>
  <si>
    <t>Error-catching logic misinterprets all BadRequestError occurrences as context-limit error, leading to improper handling</t>
  </si>
  <si>
    <t>Refactor the error handling mechanism to accruately distinguish BadRequestError causes</t>
  </si>
  <si>
    <t>https://github.com/princeton-nlp/SWE-agent/pull/825</t>
  </si>
  <si>
    <t>https://github.com/princeton-nlp/SWE-agent/issues/821</t>
  </si>
  <si>
    <t>Open' command throws error if $PATH contains a whitespace</t>
  </si>
  <si>
    <t>Tool-related issues</t>
  </si>
  <si>
    <t>执行时出错，不支持带有空格的文件名</t>
  </si>
  <si>
    <t>The script does not correctly escape or handle spaces in file paths</t>
  </si>
  <si>
    <t>Handle the paths with spaces by appropriately escaping special characters during path processing</t>
  </si>
  <si>
    <t>https://github.com/princeton-nlp/SWE-agent/pull/759</t>
  </si>
  <si>
    <t>https://github.com/princeton-nlp/SWE-agent/issues/758</t>
  </si>
  <si>
    <t>SBL matplotlib instances time out</t>
  </si>
  <si>
    <t>install time</t>
  </si>
  <si>
    <t>The default timeout was not extended for pre_install, causing failures with resource intensive process</t>
  </si>
  <si>
    <t>Implementing LONG_TIMEOUT in pre_install</t>
  </si>
  <si>
    <t>https://github.com/princeton-nlp/SWE-agent/pull/695</t>
  </si>
  <si>
    <t>https://github.com/princeton-nlp/SWE-agent/issues/694</t>
  </si>
  <si>
    <t>Received different error</t>
  </si>
  <si>
    <t>Binary output causes communicate crash</t>
  </si>
  <si>
    <t>读取二进制文件的时候程序会崩掉</t>
  </si>
  <si>
    <t>The subprocess communicate function mishandles binary outputs</t>
  </si>
  <si>
    <t>Deal with non-utf8 encoded bytes in communicate()</t>
  </si>
  <si>
    <t>https://github.com/princeton-nlp/SWE-agent/pull/731</t>
  </si>
  <si>
    <t>https://github.com/princeton-nlp/SWE-agent/issues/697</t>
  </si>
  <si>
    <t>React: Toggling input methods copies over input</t>
  </si>
  <si>
    <t>The react component fails to reset the defaultValue to the intended default when the input method changes</t>
  </si>
  <si>
    <t>explicitly resetting the value of input field to the appropriate default upon toggling the input method.</t>
  </si>
  <si>
    <t>https://github.com/princeton-nlp/SWE-agent/pull/497</t>
  </si>
  <si>
    <t>https://github.com/princeton-nlp/SWE-agent/issues/362</t>
  </si>
  <si>
    <t>Run-replay: IndexError: list index out of range</t>
  </si>
  <si>
    <t>在根据trajectories进行replay的时候，出现了trajectories不完整导致的错误(Incomplete trajectories)</t>
  </si>
  <si>
    <t>Insufficient validation for list indices, leading to out of range access</t>
  </si>
  <si>
    <t>Add checks to ensure the index is within the valid range before accessing list elements.</t>
  </si>
  <si>
    <t>https://github.com/princeton-nlp/SWE-agent/pull/410</t>
  </si>
  <si>
    <t>https://github.com/princeton-nlp/SWE-agent/issues/124</t>
  </si>
  <si>
    <t>the trajector file isn't provided</t>
  </si>
  <si>
    <t>Together model/mixtral: validation error for CompletionRequest</t>
  </si>
  <si>
    <t>Wrong Parameter Type，stop应该是一个列表，但是提供的是一个str</t>
  </si>
  <si>
    <t>The CompletionRequest lacks required data validation or correct field inputs</t>
  </si>
  <si>
    <t>Implement proper validation to ensure all necessary fields are present and formatted correctly</t>
  </si>
  <si>
    <t>https://github.com/princeton-nlp/SWE-agent/pull/236</t>
  </si>
  <si>
    <t>https://github.com/princeton-nlp/SWE-agent/issues/135</t>
  </si>
  <si>
    <t>Yanked packages? "Failed on sqlfluff__sqlfluff-1625: Failed to install requirements.txt"</t>
  </si>
  <si>
    <t>Related to the specific repo in swe-bench</t>
  </si>
  <si>
    <t>Yanked or missing package versions in `requirements.txt` cause installation failures.</t>
  </si>
  <si>
    <t>Explicitly pin and install the latest `types-pkg-resources` version in `requirements.txt`.</t>
  </si>
  <si>
    <t>https://github.com/SWE-bench/SWE-bench/issues/199</t>
  </si>
  <si>
    <t>https://github.com/SWE-agent/SWE-agent/issues/707</t>
  </si>
  <si>
    <t>other error</t>
  </si>
  <si>
    <t>没有设定audio这个attribute，导致保存message时出错了</t>
  </si>
  <si>
    <t>Uninitialized parameter audio</t>
  </si>
  <si>
    <t>fix: unexpected keyword arg audio</t>
  </si>
  <si>
    <t>https://github.com/OpenBMB/ChatDev/pull/466</t>
  </si>
  <si>
    <t>git checkout 54a0962 python3 run.py --task "design a 2048 game" --name "2048" --org "THUNLP" --config "Default"</t>
  </si>
  <si>
    <t>Execution Phase</t>
  </si>
  <si>
    <t>missing the web_spider configuration</t>
  </si>
  <si>
    <t>it lacks something in the Human and Art config file</t>
  </si>
  <si>
    <t>add "web_spider" attribut in Human and Art config file</t>
  </si>
  <si>
    <t>https://github.com/OpenBMB/ChatDev/commit/ec536d54b77aac7bcef85158833675ed9aa02b3e</t>
  </si>
  <si>
    <t>git checkout 94a723f python3 run.py --task "design a 2048 game" --name "2048" --config "Human"</t>
  </si>
  <si>
    <t>出现了 unexpected keyword argument "refusal" #413</t>
  </si>
  <si>
    <t>本地message是直接store模型返回的结果，但是模型返回结果新增了参数，本地的message类没有更新</t>
  </si>
  <si>
    <t>openai add an attribute in its new version, but the code is not updated for that</t>
  </si>
  <si>
    <t>add an attribute in Class ChatMessage</t>
  </si>
  <si>
    <t>https://github.com/OpenBMB/ChatDev/pull/419</t>
  </si>
  <si>
    <t>git checkout 067a87c python3 run.py --task "design one 2048 game" --name "2048" --org "THUNLP" --config "Default"</t>
  </si>
  <si>
    <t>KeyError: incremental_develop</t>
  </si>
  <si>
    <t>the workflow mode</t>
  </si>
  <si>
    <t>the key incremental_develop is not found in the configure file</t>
  </si>
  <si>
    <t>add incremental_develop is not found in the configure file</t>
  </si>
  <si>
    <t>https://github.com/OpenBMB/ChatDev/commit/7fb046020a1f98a0c9925b9e0349b666e7ed77bd</t>
  </si>
  <si>
    <t>https://github.com/OpenBMB/ChatDev/issues/248</t>
  </si>
  <si>
    <t xml:space="preserve">error: tenacity.RetryError so I think the command line I have tried may be mistaken so that the target bug didn't emerge: python3 run.py --task "design one 2048 game" --name "2048"--config "Default"
</t>
  </si>
  <si>
    <t>ImportError: cannot import name 'log_and_print_online' from 'chatdev.utils'</t>
  </si>
  <si>
    <t>Use the outdated function name when importing from other modules.</t>
  </si>
  <si>
    <t>the library name got changed</t>
  </si>
  <si>
    <t>Change to the correct library name</t>
  </si>
  <si>
    <t>v1.1.2</t>
  </si>
  <si>
    <t>https://github.com/OpenBMB/ChatDev/issues/308</t>
  </si>
  <si>
    <t>Add support for GPT-4-Turbo</t>
  </si>
  <si>
    <t>Missing support for GPT-4-Turbo</t>
  </si>
  <si>
    <t>https://github.com/OpenBMB/ChatDev/pull/277</t>
  </si>
  <si>
    <t>https://github.com/OpenBMB/ChatDev/issues/284</t>
  </si>
  <si>
    <t>O1 preview model will raise KeyError</t>
  </si>
  <si>
    <t>Configuration parameters are not properly retained after each run() invocation.</t>
  </si>
  <si>
    <t>Adjust the model to retain configuration keys and include unit tests to prevent similar issues</t>
  </si>
  <si>
    <t>https://github.com/camel-ai/camel/issues/1044</t>
  </si>
  <si>
    <t>https://github.com/camel-ai/camel/pull/1046</t>
  </si>
  <si>
    <t>openai.BadRequestError: Error code: 400 - {'error': {'message': 'json: cannot unmarshal number 1.0 into Go struct field GeneralOpenAIRequest.n of type int (request id: 2025020504191239969581417080039)', 'type': 'one_api_error', 'param': '', 'code': 'invalid_text_request'}}</t>
  </si>
  <si>
    <t>TypeError: "&lt;=" not supported between instances of int and NotGiven</t>
  </si>
  <si>
    <t>如果max token没有设置，会用NOT given进行计算，导致出错</t>
  </si>
  <si>
    <t>NotGiven type is used in place of max_tokens when it is absent, causing type incomptability during token checks</t>
  </si>
  <si>
    <t>Unifies the token_limit property to handle NotGiven more appropriately</t>
  </si>
  <si>
    <t>https://github.com/camel-ai/camel/pull/1071</t>
  </si>
  <si>
    <t>https://github.com/camel-ai/camel/issues/1018</t>
  </si>
  <si>
    <t>Google Maps toolkit argument type mismatch</t>
  </si>
  <si>
    <t>Google Maps Toolkit的一些方法是用tuple参数的，但是openai返回的json格式里只有list，导致无法调用</t>
  </si>
  <si>
    <t>Inconsistency between the expected parameter types in the Google Maps Toolkit functions and the actual data being passed. It is expected to input as a tuple, but it received list instead.</t>
  </si>
  <si>
    <t>Pass value as a tuple instead of list</t>
  </si>
  <si>
    <t>https://github.com/camel-ai/camel/pull/919</t>
  </si>
  <si>
    <t>https://github.com/camel-ai/camel/issues/918</t>
  </si>
  <si>
    <t>Another error: if model_platform.is_ollama:
AttributeError: 'str' object has no attribute 'is_ollama'</t>
  </si>
  <si>
    <t>handle_stream_response in ChatAgent may not append message as expected</t>
  </si>
  <si>
    <t>一些API如SambaNova返回的结果中包含None，如果以内容是否为None判断message是否加完了，会导致后续的message未能正确加入列表(logic)</t>
  </si>
  <si>
    <r>
      <t>The root cause of the issue is the current logic that relies solely on the presence of content in the chunk to determine whether to append the message. Since some APIs may send multiple chunks with </t>
    </r>
    <r>
      <rPr>
        <sz val="11"/>
        <color rgb="FF000000"/>
        <rFont val="Calibri"/>
        <family val="2"/>
        <scheme val="minor"/>
      </rPr>
      <t>None</t>
    </r>
    <r>
      <rPr>
        <sz val="11"/>
        <color rgb="FF374151"/>
        <rFont val="Calibri"/>
        <family val="2"/>
        <scheme val="minor"/>
      </rPr>
      <t> content before the final response, this can result in incomplete or missing messages being appended to the output. The logic should instead check the </t>
    </r>
    <r>
      <rPr>
        <sz val="11"/>
        <color rgb="FF000000"/>
        <rFont val="Calibri"/>
        <family val="2"/>
        <scheme val="minor"/>
      </rPr>
      <t>finish_reason</t>
    </r>
    <r>
      <rPr>
        <sz val="11"/>
        <color rgb="FF374151"/>
        <rFont val="Calibri"/>
        <family val="2"/>
        <scheme val="minor"/>
      </rPr>
      <t> to decide when to append the message.</t>
    </r>
  </si>
  <si>
    <t>Change the condition that determines when to append the message to the message list</t>
  </si>
  <si>
    <t>https://github.com/camel-ai/camel/pull/916</t>
  </si>
  <si>
    <t>https://github.com/camel-ai/camel/issues/915</t>
  </si>
  <si>
    <t>dont have a clear sign that means reproduce successfully</t>
  </si>
  <si>
    <t>OpenAI compabilityModel Object has no attribute token_limit</t>
  </si>
  <si>
    <t>token limit没有正确设定</t>
  </si>
  <si>
    <r>
      <t>The root cause of the issue is that the </t>
    </r>
    <r>
      <rPr>
        <sz val="11"/>
        <color rgb="FF000000"/>
        <rFont val="Calibri"/>
        <family val="2"/>
        <scheme val="minor"/>
      </rPr>
      <t>OpenAICompatibilityModel</t>
    </r>
    <r>
      <rPr>
        <sz val="11"/>
        <color rgb="FF374151"/>
        <rFont val="Calibri"/>
        <family val="2"/>
        <scheme val="minor"/>
      </rPr>
      <t> class is expected to have a </t>
    </r>
    <r>
      <rPr>
        <sz val="11"/>
        <color rgb="FF000000"/>
        <rFont val="Calibri"/>
        <family val="2"/>
        <scheme val="minor"/>
      </rPr>
      <t>token_limit</t>
    </r>
    <r>
      <rPr>
        <sz val="11"/>
        <color rgb="FF374151"/>
        <rFont val="Calibri"/>
        <family val="2"/>
        <scheme val="minor"/>
      </rPr>
      <t> attribute, but it appears that this attribute has not been defined or initialized in the class. As a result, when the script attempts to access </t>
    </r>
    <r>
      <rPr>
        <sz val="11"/>
        <color rgb="FF000000"/>
        <rFont val="Calibri"/>
        <family val="2"/>
        <scheme val="minor"/>
      </rPr>
      <t>self.model_backend.token_limit</t>
    </r>
    <r>
      <rPr>
        <sz val="11"/>
        <color rgb="FF374151"/>
        <rFont val="Calibri"/>
        <family val="2"/>
        <scheme val="minor"/>
      </rPr>
      <t>, it raises an </t>
    </r>
    <r>
      <rPr>
        <sz val="11"/>
        <color rgb="FF000000"/>
        <rFont val="Calibri"/>
        <family val="2"/>
        <scheme val="minor"/>
      </rPr>
      <t>AttributeError</t>
    </r>
    <r>
      <rPr>
        <sz val="11"/>
        <color rgb="FF374151"/>
        <rFont val="Calibri"/>
        <family val="2"/>
        <scheme val="minor"/>
      </rPr>
      <t>.</t>
    </r>
  </si>
  <si>
    <t>has attribute token_limit defined</t>
  </si>
  <si>
    <t>https://github.com/camel-ai/camel/pull/832</t>
  </si>
  <si>
    <t>https://github.com/camel-ai/camel/issues/831</t>
  </si>
  <si>
    <t>There is no error.</t>
  </si>
  <si>
    <t>AttributeError: 'NoneType' object has no attribute 'content'</t>
  </si>
  <si>
    <r>
      <t>return </t>
    </r>
    <r>
      <rPr>
        <sz val="11"/>
        <color rgb="FF000000"/>
        <rFont val="Calibri"/>
        <family val="2"/>
        <scheme val="minor"/>
      </rPr>
      <t>None</t>
    </r>
    <r>
      <rPr>
        <sz val="11"/>
        <color rgb="FF374151"/>
        <rFont val="Calibri"/>
        <family val="2"/>
        <scheme val="minor"/>
      </rPr>
      <t> for the </t>
    </r>
    <r>
      <rPr>
        <sz val="11"/>
        <color rgb="FF000000"/>
        <rFont val="Calibri"/>
        <family val="2"/>
        <scheme val="minor"/>
      </rPr>
      <t>user_msg</t>
    </r>
    <r>
      <rPr>
        <sz val="11"/>
        <color rgb="FF374151"/>
        <rFont val="Calibri"/>
        <family val="2"/>
        <scheme val="minor"/>
      </rPr>
      <t>, leading to the </t>
    </r>
    <r>
      <rPr>
        <sz val="11"/>
        <color rgb="FF000000"/>
        <rFont val="Calibri"/>
        <family val="2"/>
        <scheme val="minor"/>
      </rPr>
      <t>AttributeError</t>
    </r>
    <r>
      <rPr>
        <sz val="11"/>
        <color rgb="FF374151"/>
        <rFont val="Calibri"/>
        <family val="2"/>
        <scheme val="minor"/>
      </rPr>
      <t> when trying to access </t>
    </r>
    <r>
      <rPr>
        <sz val="11"/>
        <color rgb="FF000000"/>
        <rFont val="Calibri"/>
        <family val="2"/>
        <scheme val="minor"/>
      </rPr>
      <t>user_msg.content</t>
    </r>
    <r>
      <rPr>
        <sz val="11"/>
        <color rgb="FF374151"/>
        <rFont val="Calibri"/>
        <family val="2"/>
        <scheme val="minor"/>
      </rPr>
      <t>.</t>
    </r>
  </si>
  <si>
    <r>
      <t>add checker to ensure that </t>
    </r>
    <r>
      <rPr>
        <sz val="11"/>
        <color rgb="FF000000"/>
        <rFont val="Calibri"/>
        <family val="2"/>
        <scheme val="minor"/>
      </rPr>
      <t>user_msg</t>
    </r>
    <r>
      <rPr>
        <sz val="11"/>
        <color rgb="FF374151"/>
        <rFont val="Calibri"/>
        <family val="2"/>
        <scheme val="minor"/>
      </rPr>
      <t> is not </t>
    </r>
    <r>
      <rPr>
        <sz val="11"/>
        <color rgb="FF000000"/>
        <rFont val="Calibri"/>
        <family val="2"/>
        <scheme val="minor"/>
      </rPr>
      <t>None</t>
    </r>
    <r>
      <rPr>
        <sz val="11"/>
        <color rgb="FF374151"/>
        <rFont val="Calibri"/>
        <family val="2"/>
        <scheme val="minor"/>
      </rPr>
      <t> before attempting to access its </t>
    </r>
    <r>
      <rPr>
        <sz val="11"/>
        <color rgb="FF000000"/>
        <rFont val="Calibri"/>
        <family val="2"/>
        <scheme val="minor"/>
      </rPr>
      <t>content</t>
    </r>
    <r>
      <rPr>
        <sz val="11"/>
        <color rgb="FF374151"/>
        <rFont val="Calibri"/>
        <family val="2"/>
        <scheme val="minor"/>
      </rPr>
      <t> attribute.</t>
    </r>
  </si>
  <si>
    <t>https://github.com/camel-ai/camel/issues/339</t>
  </si>
  <si>
    <t>Problem with new wikipedia search functionality</t>
  </si>
  <si>
    <r>
      <t>The incorrect result returned for "KAUST" (information about "KAIST") suggests that the </t>
    </r>
    <r>
      <rPr>
        <sz val="11"/>
        <color rgb="FF000000"/>
        <rFont val="Calibri"/>
        <family val="2"/>
        <scheme val="minor"/>
      </rPr>
      <t>search_wiki_by_api</t>
    </r>
    <r>
      <rPr>
        <sz val="11"/>
        <color rgb="FF374151"/>
        <rFont val="Calibri"/>
        <family val="2"/>
        <scheme val="minor"/>
      </rPr>
      <t> function might not be handling the search query correctly or that the Wikipedia API is returning results that are not relevant.</t>
    </r>
  </si>
  <si>
    <t>Verify API call and the parameter being passed</t>
  </si>
  <si>
    <t>https://github.com/camel-ai/camel/pull/258</t>
  </si>
  <si>
    <t>https://github.com/camel-ai/camel/issues/256</t>
  </si>
  <si>
    <t>The result is inconsistent:Specified task prompt:
None
Final task prompt:
Assuming the current year is 2023, estimate KAUST's current age and then add 10 more years to this age.</t>
  </si>
  <si>
    <t>Task file could be downloaded automatically if no exist</t>
  </si>
  <si>
    <t>Without task pre-downloading logic, this might be categorized into "Utility Issues"</t>
  </si>
  <si>
    <t>Missing file handling logic triggers an auto-download rather than an error or prompt</t>
  </si>
  <si>
    <t>Adds functionality to manage missing files more appropriately without auto downloading, ensuring files are correctly checked and handled</t>
  </si>
  <si>
    <t>https://github.com/camel-ai/camel/pull/158</t>
  </si>
  <si>
    <t>https://github.com/camel-ai/camel/issues/156</t>
  </si>
  <si>
    <t>Mutiple values of model_config</t>
  </si>
  <si>
    <t>Redundant argument definition</t>
  </si>
  <si>
    <t>Remove duplicate model_config assignment in the constructor call</t>
  </si>
  <si>
    <t>https://github.com/camel-ai/camel/pull/249</t>
  </si>
  <si>
    <t>https://github.com/camel-ai/camel/issues/248</t>
  </si>
  <si>
    <t>openai error: tenacity.RetryError: RetryError[&lt;Future at 0x10829f5b0 state=finished raised APIRemovedInV1&gt;]</t>
  </si>
  <si>
    <t>Mutiple set_output_language_calls</t>
  </si>
  <si>
    <t>Multiple ChatAgent.set_output_language() calls in a row result in mumbo-jumbo system_message.</t>
  </si>
  <si>
    <t>improper handling of set_output_language_calls in ChatAgent. It leads to conflicting updates and redundant changes</t>
  </si>
  <si>
    <t>Correcting how the fields are updated to avoid this unintended behavior.</t>
  </si>
  <si>
    <t>https://github.com/camel-ai/camel/pull/223</t>
  </si>
  <si>
    <t>https://github.com/camel-ai/camel/issues/215</t>
  </si>
  <si>
    <t>Call super() to class without a base class</t>
  </si>
  <si>
    <t>ChatMessage没能正确地获得父类的__deepcopy__属性导致出现attribute error(logic)</t>
  </si>
  <si>
    <t>The BaseMessage improperly implemented ___getattribute___, which cause issues when copying objects using copy.deepcopy.</t>
  </si>
  <si>
    <t>removing __getattribute__ from BaseMessage</t>
  </si>
  <si>
    <t>https://github.com/camel-ai/camel/pull/168</t>
  </si>
  <si>
    <t>https://github.com/camel-ai/camel/issues/165</t>
  </si>
  <si>
    <t>anther error: can't connerct to openai correctly when checkout the corresponding version，tenacity.RetryError: RetryError[&lt;Future at 0x7f98d5580970 state=finished raised ValueError&gt;], So I think we should only focus on the issues after 2023</t>
  </si>
  <si>
    <t>Toolkits are binding to unused libraries；暂时不算bug，虽然它actually影响使用</t>
  </si>
  <si>
    <t>All toolkits and their dependencies are initialized at the top level in the code, rather than conditionally used.</t>
  </si>
  <si>
    <t>Refactor the toolkit imports to delay initialization until they are explicitly called</t>
  </si>
  <si>
    <t>https://github.com/camel-ai/camel/pull/1188</t>
  </si>
  <si>
    <t>0,16</t>
  </si>
  <si>
    <t>0,08</t>
  </si>
  <si>
    <t>0,2307</t>
  </si>
  <si>
    <t>0,1875</t>
  </si>
  <si>
    <t>0,2307692308</t>
  </si>
  <si>
    <t>[BUG] Infinite loop while using parse API in OpenAI #1427</t>
  </si>
  <si>
    <t>在解析模型输出时，根据tool_call是否为None来判断是否有tool-call，但是这无法兼顾tool-call为[]的情况，因此可能会导致无限循环；这算TOOL的问题还是Model ouput的问题还是调度问题呢？？(Exception)</t>
  </si>
  <si>
    <t>Incorrect check for `tool_calls` in `ChatAgent`, treating `[]` as `None`, causes an infinite loop.</t>
  </si>
  <si>
    <t>Corrected `tool_calls` check in `ChatAgent` to prevent infinite loop and fixed missing Discord token issue.</t>
  </si>
  <si>
    <t>https://github.com/camel-ai/camel/pull/1429</t>
  </si>
  <si>
    <t>https://github.com/camel-ai/camel/issues/1427</t>
  </si>
  <si>
    <t>Need to use Google API</t>
  </si>
  <si>
    <t>[BUG] Incorrect role assigning in RewardModelFilter #1389</t>
  </si>
  <si>
    <t>Inference时候的错误，RewardModelFilter的返回消息应该是assistant角色，而不是user角色 （wrong role）</t>
  </si>
  <si>
    <t>Incoming instruction is incorrectly assigned as the user's message instead of the assistant's message.</t>
  </si>
  <si>
    <t>Corrected role assignment in *RewardModelFilter* by properly passing the incoming instruction as the assistant's message. Added prompt handling to ensure correct behavior.</t>
  </si>
  <si>
    <t>https://github.com/camel-ai/camel/pull/1390</t>
  </si>
  <si>
    <t>https://github.com/camel-ai/camel/issues/1389</t>
  </si>
  <si>
    <t>I think the result of reproducing the bug is ambiguous</t>
  </si>
  <si>
    <t>[BUG] Circular Reference of ChatAgent and FunctionTool</t>
  </si>
  <si>
    <t>Circular reference</t>
  </si>
  <si>
    <t>Circular reference between `ChatAgent` and `FunctionTool` causes module import issues.</t>
  </si>
  <si>
    <t>Fixed the circular import issue between `FunctionTool` and `ChatAgent` by restructuring imports. Also resolved a mypy checking issue in toolkits.</t>
  </si>
  <si>
    <t>https://github.com/camel-ai/camel/pull/1379</t>
  </si>
  <si>
    <t>https://github.com/camel-ai/camel/issues/1376</t>
  </si>
  <si>
    <t>"role_playing_with_claude" cannot execute properly.</t>
  </si>
  <si>
    <t>claude中的一些function发生了变更</t>
  </si>
  <si>
    <t>The issue was caused by a change in how `token_counter` and related functions are called in Claude, requiring an update to work correctly.</t>
  </si>
  <si>
    <t>Fixes issue by updating the invocation method for `token_counter` and related functions in Claude.</t>
  </si>
  <si>
    <t>https://github.com/camel-ai/camel/pull/1392</t>
  </si>
  <si>
    <t>https://github.com/camel-ai/camel/issues/1356</t>
  </si>
  <si>
    <t>need to use claude api</t>
  </si>
  <si>
    <t>[BUG] camel app AttributeError: 'dict' object has no attribute 'then' #1333</t>
  </si>
  <si>
    <t>The error happened because a dict was used where a Promise-like object was expected.</t>
  </si>
  <si>
    <t>The fix updates the app code to use the current method of chaining Gradio events, as the previous style is no longer supported in newer versions of Gradio.</t>
  </si>
  <si>
    <t>https://github.com/camel-ai/camel/pull/1439</t>
  </si>
  <si>
    <t>https://github.com/camel-ai/camel/issues/1333</t>
  </si>
  <si>
    <t>No error</t>
  </si>
  <si>
    <t>[BUG] api_keys_required() is not compatible with the method of directly setting api_key #1273</t>
  </si>
  <si>
    <t>API key setting errors</t>
  </si>
  <si>
    <t>The api_keys_required() decorator only supports environment variables, not direct API key assignment in the __init__() method.</t>
  </si>
  <si>
    <t>The fix for api_keys_required() allows direct setting of the api_key in the constructor, resolving the issue in #1273. It also improves handling when multiple API keys are used.</t>
  </si>
  <si>
    <t>https://github.com/camel-ai/camel/pull/1277</t>
  </si>
  <si>
    <t xml:space="preserve">from camel.utils import api_keys_required
class DummyClass:
@api_keys_required("DUMMY_TOKEN")
def __init__(self, api_key: str):
self._api_key = api_key
dc = DummyClass(api_key="xxxxx")
</t>
  </si>
  <si>
    <t>0,02</t>
  </si>
  <si>
    <t>0,0882</t>
  </si>
  <si>
    <t>0,0267</t>
  </si>
  <si>
    <t>0,08823529412</t>
  </si>
  <si>
    <t>[BUG] Inconsistent memory changes for ChatAgent between having tools=[...] and external_tools=[...] (maybe just a doc change) #1179</t>
  </si>
  <si>
    <t>external_tools的内容没有被记录到memory中 (Incomplete content)</t>
  </si>
  <si>
    <t>Inconsistent memory updates due to different handling of tools versus external_tools.</t>
  </si>
  <si>
    <t>Refactor ChatAgent to support callable tools, structured output, tool management, and memory recording.</t>
  </si>
  <si>
    <t>https://github.com/camel-ai/camel/pull/1142</t>
  </si>
  <si>
    <t>https://github.com/camel-ai/camel/issues/1179</t>
  </si>
  <si>
    <t>other error:AttributeError: 'BaseMessage' object has no attribute 'to_sharegpt'</t>
  </si>
  <si>
    <t>[BUG] if self.model_backend.model_config_dict['tools']: KeyError: 'tools' #1025</t>
  </si>
  <si>
    <t>https://github.com/camel-ai/camel/issues/1025</t>
  </si>
  <si>
    <t>git checkout b8e1f5cc</t>
  </si>
  <si>
    <t>No Specific patch</t>
  </si>
  <si>
    <t>[BUG] AttributeError: 'str' object has no attribute 'supports_tool_calling' #977</t>
  </si>
  <si>
    <t>`model_type` is a string instead of a `ModelType` object, causing attribute access failure.</t>
  </si>
  <si>
    <t>ChatAgent refactored: added tool management, structured output, single_iteration mode, and memory recording.</t>
  </si>
  <si>
    <t>https://github.com/camel-ai/camel/issues/977</t>
  </si>
  <si>
    <t>The python snippets is only suitable for the questioner: ModuleNotFoundError: No module named 'optimized_loader'</t>
  </si>
  <si>
    <t>[BUG] Tools will be invalid after calling step() with output schema #894
Closed</t>
  </si>
  <si>
    <t>Tools are replaced by output schema function and not restored afterward.</t>
  </si>
  <si>
    <t>Output schema replaces tools in ChatAgent but does not restore them, making tools invalid.</t>
  </si>
  <si>
    <t>https://github.com/camel-ai/camel/pull/830</t>
  </si>
  <si>
    <t>https://github.com/camel-ai/camel/issues/894</t>
  </si>
  <si>
    <t>ValueError: `OPENWEATHERMAP_API_KEY` not found in environment variables. Get `OPENWEATHERMAP_API_KEY` here: `https://openweathermap.org`.</t>
  </si>
  <si>
    <t xml:space="preserve">[BUG] ModuleNotFoundError for pillow and unstructured #673
</t>
  </si>
  <si>
    <t>PIL and unstructured are utilized to handle different types of data, e.g., images and knowledge_graph.</t>
  </si>
  <si>
    <t>Pillow and unstructured were marked as optional dependencies instead of defaults.</t>
  </si>
  <si>
    <t>Ensure Pillow and Unstructured libraries are installed by default to prevent module errors</t>
  </si>
  <si>
    <t>https://github.com/camel-ai/camel/pull/675</t>
  </si>
  <si>
    <t>https://github.com/camel-ai/camel/issues/673</t>
  </si>
  <si>
    <t xml:space="preserve">[BUG] TypeError: asdict() should be called on dataclass instances #496
</t>
  </si>
  <si>
    <t>在存储message时传来错误的message对象，导致TypeError: asdict() should be called on dataclass instances (Incompatible types)</t>
  </si>
  <si>
    <t>Input message was incorrectly structured, causing asdict() to fail on non-dataclass instances.</t>
  </si>
  <si>
    <t>In role_playing.py, try replacing the line of code "input_msg = role_play_session.init_chat()" to "input_msg, _ = role_play_session.init_chat()"</t>
  </si>
  <si>
    <t>https://github.com/camel-ai/camel/issues/496</t>
  </si>
  <si>
    <t>Multi-agent Compatibility Score of Role Assignment</t>
  </si>
  <si>
    <t>模型有时会拒绝回答一些问题，导致错误传播 (Exception)</t>
  </si>
  <si>
    <t>Insufficient compatibility scores for the user or assistant led to premature termination.</t>
  </si>
  <si>
    <t>https://github.com/camel-ai/camel/issues/419</t>
  </si>
  <si>
    <t xml:space="preserve">[BUG] AttributeError: 'NoneType' object has no attribute 'content' #339
</t>
  </si>
  <si>
    <t>Encountered `AttributeError` because `user_msg` was `None`.</t>
  </si>
  <si>
    <t>not clear</t>
  </si>
  <si>
    <t>在update—messages时使用了fix hard coded (wrong logic)</t>
  </si>
  <si>
    <t>https://github.com/camel-ai/camel/pull/90</t>
  </si>
  <si>
    <t>0,28</t>
  </si>
  <si>
    <t>0,42</t>
  </si>
  <si>
    <t>0,4285714286</t>
  </si>
  <si>
    <t>Mistral large SDKError when doing tool call</t>
  </si>
  <si>
    <t>Mistral large SDKError occurs when running role_playing_with_mistral.py.好像说调用和响应的数量不一致 (missing messages)</t>
  </si>
  <si>
    <t>Mistral large SDKError occurs when running role_playing_with_mistral.py.</t>
  </si>
  <si>
    <t>Updated function call result message format, fixed mismatched calls/responses issue, and improved tool calling compatibility.</t>
  </si>
  <si>
    <t>https://github.com/camel-ai/camel/pull/1436</t>
  </si>
  <si>
    <t>https://github.com/camel-ai/camel/issues/1467</t>
  </si>
  <si>
    <t>need MISTRAL_API_KEY</t>
  </si>
  <si>
    <t>把deepseek的think内容删掉，只发送result (redudant content)</t>
  </si>
  <si>
    <t>Remove &lt;think&gt; content in model request.</t>
  </si>
  <si>
    <t>Fixed issue by removing `&lt;think&gt;` content from model requests to prevent errors in prompt handling.</t>
  </si>
  <si>
    <t>https://github.com/camel-ai/camel/pull/1613</t>
  </si>
  <si>
    <t>0,33</t>
  </si>
  <si>
    <t>Fail to work with Gemini-pro 1.5</t>
  </si>
  <si>
    <t>一些讨论的话题被模型给block了(Exception)</t>
  </si>
  <si>
    <t>Gemini blocked the chat. The prompt is recognized as HARM_CATEGORY. The prompt is "Talk about Artificial General Intelligence"</t>
  </si>
  <si>
    <t>Contextual Awareness</t>
  </si>
  <si>
    <t>No clear explanation, but briefly the developers mentioned about patch update and code optimization</t>
  </si>
  <si>
    <t>https://github.com/geekan/MetaGPT/pull/1105</t>
  </si>
  <si>
    <t>https://github.com/geekan/MetaGPT/issues/1100</t>
  </si>
  <si>
    <t>need Gemini Pro model</t>
  </si>
  <si>
    <t>Code generation results in buggy codes</t>
  </si>
  <si>
    <t>Needs further improvement on MetaGPT's side</t>
  </si>
  <si>
    <t>https://github.com/geekan/MetaGPT/issues/183</t>
  </si>
  <si>
    <t>Throws an error after exceeding the max completion token</t>
  </si>
  <si>
    <t>Latest GPT-4 Turbo model has a 128K input token context window, but only a 4096 tokens completion output window</t>
  </si>
  <si>
    <t>Handle max completion token by splitting content into chunks</t>
  </si>
  <si>
    <t>https://github.com/xiaoxiaoimg/MetaGPT/pull/9/commits</t>
  </si>
  <si>
    <t>https://github.com/geekan/MetaGPT/issues/816</t>
  </si>
  <si>
    <t>No specific steps</t>
  </si>
  <si>
    <t>Bad request error: context exceeded its limit in OpenAI (context limitation)</t>
  </si>
  <si>
    <t>No handler when the context exceeds its limit</t>
  </si>
  <si>
    <t>OPEN</t>
  </si>
  <si>
    <t>https://github.com/geekan/MetaGPT/issues/164</t>
  </si>
  <si>
    <t>Issue when running any vision LLM call</t>
  </si>
  <si>
    <t>the provider not fit ollama's api</t>
  </si>
  <si>
    <t>Conflict between Ollama streaming call and async handling</t>
  </si>
  <si>
    <t>Fix Ollama API to add llava support</t>
  </si>
  <si>
    <t>https://github.com/geekan/MetaGPT/pull/1544</t>
  </si>
  <si>
    <t>https://github.com/geekan/MetaGPT/issues/1539</t>
  </si>
  <si>
    <t>Inconsistent results</t>
  </si>
  <si>
    <t>During the process, error occurred and task did not get completed</t>
  </si>
  <si>
    <t>Problem with 0.1 MetaGPT</t>
  </si>
  <si>
    <t>Update to 0.2.0</t>
  </si>
  <si>
    <t>0.2.0</t>
  </si>
  <si>
    <t>https://github.com/geekan/MetaGPT/issues/35</t>
  </si>
  <si>
    <t>Inconsistent results: another error: PydanticUserError</t>
  </si>
  <si>
    <t>MetaGPT-AFLOW issue</t>
  </si>
  <si>
    <t>不知所云，好像是和测评时读取结果文件时的一个文件json编码错误有关，但是这个结果文件是不是模型结果不知道 （ output parsing)</t>
  </si>
  <si>
    <t>The function read an empty JSON</t>
  </si>
  <si>
    <t>Optimize and handle if the function read empty JSON</t>
  </si>
  <si>
    <t>https://github.com/geekan/MetaGPT/pull/1552</t>
  </si>
  <si>
    <t>https://github.com/geekan/MetaGPT/issues/1549</t>
  </si>
  <si>
    <t>Error when chunk.usage has no value</t>
  </si>
  <si>
    <t>不知所云；patch是检查了一下返回的response里usage属性是否存在于每个chunk里；usage好像是用于token计算的 (output parsing)</t>
  </si>
  <si>
    <t>No handler when chunk.usage has no value</t>
  </si>
  <si>
    <t>Check the chunk.usage before proceeding to use it</t>
  </si>
  <si>
    <t>https://github.com/geekan/MetaGPT/pull/1253</t>
  </si>
  <si>
    <t>https://github.com/geekan/MetaGPT/issues/233</t>
  </si>
  <si>
    <t>PydanticUserError, is not same as description</t>
  </si>
  <si>
    <t>不知所云；和上一个是一个解决方法,usage (output parsign)</t>
  </si>
  <si>
    <t>https://github.com/geekan/MetaGPT/issues/1269</t>
  </si>
  <si>
    <t>https://github.com/geekan/MetaGPT/issues/1265</t>
  </si>
  <si>
    <t>pip install error</t>
  </si>
  <si>
    <t>https://github.com/geekan/MetaGPT/issues/1272</t>
  </si>
  <si>
    <t>No specific steps to reproduce</t>
  </si>
  <si>
    <t>不知所云;和上面的是一个解决方案,usage (output parsing)</t>
  </si>
  <si>
    <t>https://github.com/geekan/MetaGPT/issues/1252</t>
  </si>
  <si>
    <t>LlamaIndex exception due to reaching context length</t>
  </si>
  <si>
    <t>Context size - 271</t>
  </si>
  <si>
    <t>Make context length configurable</t>
  </si>
  <si>
    <t>https://github.com/geekan/MetaGPT/pull/1546</t>
  </si>
  <si>
    <t>https://github.com/geekan/MetaGPT/issues/1372</t>
  </si>
  <si>
    <t>Research role fails if some of Serpapi searches return no results</t>
  </si>
  <si>
    <t>No handler when SERP API results nothing</t>
  </si>
  <si>
    <t>Add handler to catch no result</t>
  </si>
  <si>
    <t>https://github.com/geekan/MetaGPT/pull/1357</t>
  </si>
  <si>
    <t>https://github.com/geekan/MetaGPT/issues/1356</t>
  </si>
  <si>
    <t>JSONDecodeError</t>
  </si>
  <si>
    <t>模型没有成功输出JSON格式，导致解析时报了JSONDecode Error (output parsing)</t>
  </si>
  <si>
    <t>https://github.com/geekan/MetaGPT/issues/1340
https://github.com/geekan/MetaGPT/issues/1335</t>
  </si>
  <si>
    <t>recent update or misalignment in model API integrations</t>
  </si>
  <si>
    <t>Adjustment in model parameter and API handling</t>
  </si>
  <si>
    <t>https://github.com/geekan/MetaGPT/pull/1316</t>
  </si>
  <si>
    <t>https://zippy-whimsey-cb5.notion.site/22-AttributeError-Message-object-has-no-attribute-restricted_to-164074321c0d80f890eacdfb9b030bec</t>
  </si>
  <si>
    <t>0,75</t>
  </si>
  <si>
    <t>Validation Error</t>
  </si>
  <si>
    <t>API key validation error message is not user-friendly. Actually not a bug</t>
  </si>
  <si>
    <t>No API key validation</t>
  </si>
  <si>
    <t>Optimize error message when validating api_key failed</t>
  </si>
  <si>
    <t>https://github.com/geekan/MetaGPT/pull/1324</t>
  </si>
  <si>
    <r>
      <t>https://github.com/geekan/MetaGPT/issues/1290</t>
    </r>
    <r>
      <rPr>
        <sz val="11"/>
        <color theme="1"/>
        <rFont val="Calibri"/>
        <family val="2"/>
        <scheme val="minor"/>
      </rPr>
      <t xml:space="preserve">
</t>
    </r>
    <r>
      <rPr>
        <u/>
        <sz val="11"/>
        <color rgb="FF1155CC"/>
        <rFont val="Calibri"/>
        <family val="2"/>
        <scheme val="minor"/>
      </rPr>
      <t>https://github.com/geekan/MetaGPT/issues/1220</t>
    </r>
  </si>
  <si>
    <t>BedrockLLM integration error</t>
  </si>
  <si>
    <t>Report multiple bugs in one issue</t>
  </si>
  <si>
    <t>invalid input schema and a limitation on maximum context length</t>
  </si>
  <si>
    <t>reformating input requests and adjusting API call parameters to align with model requirements</t>
  </si>
  <si>
    <t>https://github.com/geekan/MetaGPT/pull/1282</t>
  </si>
  <si>
    <t>https://github.com/geekan/MetaGPT/issues/1281</t>
  </si>
  <si>
    <t>need to use Claud</t>
  </si>
  <si>
    <t>RAG FAISS Assertion Error</t>
  </si>
  <si>
    <t>Unable to set the retriever embedder.</t>
  </si>
  <si>
    <t>FAISS index and embedding dimensions are not aligned</t>
  </si>
  <si>
    <t>Specify the correct dimensions in FAISSRetrieverConfig, aligning the model and index dimension explicitly</t>
  </si>
  <si>
    <t>https://github.com/geekan/MetaGPT/pull/1241</t>
  </si>
  <si>
    <t>https://github.com/geekan/MetaGPT/issues/1239</t>
  </si>
  <si>
    <t>ImportError: llama-index-readers-file package not found but is not same as descibed</t>
  </si>
  <si>
    <t>team.invest() does not set the action.llm.cost_manager, resulting in incorrect cost management behavior</t>
  </si>
  <si>
    <t>the context is incorrectly instantiated every time, preventing the cost_manager from being properly associated with the action due to the ContetMixin not being implemented</t>
  </si>
  <si>
    <t>Implement ContextMixin as a singleton</t>
  </si>
  <si>
    <t>https://github.com/geekan/MetaGPT/pull/1035</t>
  </si>
  <si>
    <t>https://github.com/geekan/MetaGPT/issues/1086
https://github.com/geekan/MetaGPT/issues/1031</t>
  </si>
  <si>
    <t>No error, maybe I need to check the version again</t>
  </si>
  <si>
    <t>The extract_state_value_from_output function incorrectly processes -1 as 1</t>
  </si>
  <si>
    <t>用正则从模型结果里拿东西，正则写错了 (output parsing)</t>
  </si>
  <si>
    <t>Improper handling of the output values</t>
  </si>
  <si>
    <t>Handle the value -1 without transforming it to 1</t>
  </si>
  <si>
    <t>https://github.com/geekan/MetaGPT/pull/1069</t>
  </si>
  <si>
    <t>https://github.com/geekan/MetaGPT/issues/1067</t>
  </si>
  <si>
    <t>ReadTimeOut when using a local LLM with large context sizes</t>
  </si>
  <si>
    <t>Sync Config Error, Utility Implementation Issues</t>
  </si>
  <si>
    <t>Insufficient response time for LLM inference</t>
  </si>
  <si>
    <t>Current configuration not allowing enough time for responses</t>
  </si>
  <si>
    <t>Configure timeout and retry settings</t>
  </si>
  <si>
    <t>https://github.com/geekan/MetaGPT/pull/1060</t>
  </si>
  <si>
    <t>https://github.com/geekan/MetaGPT/issues/1059</t>
  </si>
  <si>
    <t>hosting the following model; https://huggingface.co/oobabooga/CodeBooga-34B-v0.1</t>
  </si>
  <si>
    <t>NotImplementedError when using num_token_from_messages() for GPT-3.5-turbo-0125</t>
  </si>
  <si>
    <t>Forget to provide the cost and token configuration of gpt-3.5-turbo, which cause the wrong token count calculation.</t>
  </si>
  <si>
    <t>Lack of handling for the count_message_tokens function</t>
  </si>
  <si>
    <t>Modify count_message_tokens function to support gpt-3.5-turbo-0125</t>
  </si>
  <si>
    <t>https://github.com/geekan/MetaGPT/pull/1020</t>
  </si>
  <si>
    <t>https://github.com/geekan/MetaGPT/issues/1019</t>
  </si>
  <si>
    <t>ValueError with an invalid root when using --recover-path</t>
  </si>
  <si>
    <t>--recover-path parameter not validating the path</t>
  </si>
  <si>
    <t>Add validation check to check the validity of recover-path</t>
  </si>
  <si>
    <t>https://github.com/geekan/MetaGPT/pull/1103</t>
  </si>
  <si>
    <t>https://github.com/geekan/MetaGPT/issues/1013</t>
  </si>
  <si>
    <t>utils.text.reduce_message_length not reducing text length</t>
  </si>
  <si>
    <t>misconfiguration of the reserved parameter</t>
  </si>
  <si>
    <t>adjusting the reserved parameter to zero, ensuring compability with LLM prompt constraints</t>
  </si>
  <si>
    <t>https://github.com/geekan/MetaGPT/pull/986</t>
  </si>
  <si>
    <t>https://github.com/geekan/MetaGPT/issues/979</t>
  </si>
  <si>
    <t>No module named 'llama_index.vector_stores.milvus</t>
  </si>
  <si>
    <t>Not a bug.</t>
  </si>
  <si>
    <t>Dependency conflicts between llama-index-core and related packages</t>
  </si>
  <si>
    <t>ClOSED</t>
  </si>
  <si>
    <t>Resolve version conflicts by finding compatible pydantic and llama_index versions.</t>
  </si>
  <si>
    <t>https://github.com/geekan/MetaGPT/issues/1664</t>
  </si>
  <si>
    <t>https://github.com/geekan/MetaGPT/issues/1653</t>
  </si>
  <si>
    <t>it's not suitable to reproduce</t>
  </si>
  <si>
    <t>Support gemini latest model</t>
  </si>
  <si>
    <t>Cannot use gemini model</t>
  </si>
  <si>
    <t>Enable support for gemini</t>
  </si>
  <si>
    <t>https://github.com/geekan/MetaGPT/pull/1725</t>
  </si>
  <si>
    <t>https://github.com/geekan/MetaGPT/issues/1724</t>
  </si>
  <si>
    <t>max_tokens args does not work on stanford_town</t>
  </si>
  <si>
    <t>Fail to set the max token of an LLM</t>
  </si>
  <si>
    <t>Use config.llm instead of self.llm.config</t>
  </si>
  <si>
    <t>Use self.llm.config</t>
  </si>
  <si>
    <t>https://github.com/geekan/MetaGPT/pull/1676</t>
  </si>
  <si>
    <t>https://github.com/geekan/MetaGPT/issues/1675</t>
  </si>
  <si>
    <t>Improve formatting of execution agent's prompt</t>
  </si>
  <si>
    <t>Formatting issue</t>
  </si>
  <si>
    <t>Format the agent's prompt</t>
  </si>
  <si>
    <t>https://github.com/yoheinakajima/babyagi/pull/258</t>
  </si>
  <si>
    <t>https://github.com/yoheinakajima/babyagi/issues/273</t>
  </si>
  <si>
    <t>pydantic.errors: pydanticImportError</t>
  </si>
  <si>
    <t>pydantic应该是用于定义模型输出schema的</t>
  </si>
  <si>
    <t>Missing pydantic library</t>
  </si>
  <si>
    <t>Install pydantic library</t>
  </si>
  <si>
    <t>https://github.com/yoheinakajima/babyagi/issues/354</t>
  </si>
  <si>
    <t>Result id always equals result_1 hence a single embedding vector is stored (and constantly replaced)</t>
  </si>
  <si>
    <t>result id always equal result_1(logic)</t>
  </si>
  <si>
    <t>result id always equal result_1</t>
  </si>
  <si>
    <t>https://github.com/yoheinakajima/babyagi/pull/309</t>
  </si>
  <si>
    <t>https://github.com/yoheinakajima/babyagi/issues/308</t>
  </si>
  <si>
    <t>duckdb.ParseExecption</t>
  </si>
  <si>
    <t>感觉issue和patch不太对应，issue是和db有关的，patch是改prompt的，可能是误打误撞改对的</t>
  </si>
  <si>
    <t>Have empty responses from Llama model</t>
  </si>
  <si>
    <t>Prioritization agent deleting priority list when returning empty output. Prompt engineering and parameter improvements to reduce number of empty responses from Llama models.</t>
  </si>
  <si>
    <t>https://github.com/yoheinakajima/babyagi/pull/279</t>
  </si>
  <si>
    <t>https://github.com/yoheinakajima/babyagi/issues/276</t>
  </si>
  <si>
    <t>Redundant use of vector and result variables and wrong types</t>
  </si>
  <si>
    <t>add的参数实际上重复了，但其实不算bug，算个issue</t>
  </si>
  <si>
    <t>Redundancy</t>
  </si>
  <si>
    <t>Fixing redundancy of vector, result variables and wrong types</t>
  </si>
  <si>
    <t>https://github.com/yoheinakajima/babyagi/pull/272</t>
  </si>
  <si>
    <t>https://github.com/yoheinakajima/babyagi/issues/266</t>
  </si>
  <si>
    <t>missing 'input_cost_per_token'</t>
  </si>
  <si>
    <t>Fail to set the token cost and cause the calculation error.</t>
  </si>
  <si>
    <t>no cost tracer</t>
  </si>
  <si>
    <t>Fix cost in llm tracer</t>
  </si>
  <si>
    <t>https://github.com/raga-ai-hub/RagaAI-Catalyst/pull/136</t>
  </si>
  <si>
    <t>https://github.com/raga-ai-hub/RagaAI-Catalyst/issues/135</t>
  </si>
  <si>
    <t>Orchestrator.set_classifier() doesn't update classifier's agents</t>
  </si>
  <si>
    <t>把agents加到orchestrator里，然后找不到了</t>
  </si>
  <si>
    <t>https://github.com/awslabs/multi-agent-orchestrator/pull/199</t>
  </si>
  <si>
    <t>https://github.com/awslabs/multi-agent-orchestrator/issues/187</t>
  </si>
  <si>
    <t>don't have the whole code to reproduce, only provided snippets</t>
  </si>
  <si>
    <t>Forget to export classes</t>
  </si>
  <si>
    <t>https://github.com/awslabs/multi-agent-orchestrator/pull/159</t>
  </si>
  <si>
    <t>https://github.com/awslabs/multi-agent-orchestrator/issues/158</t>
  </si>
  <si>
    <t>TS Error about systemPrompt in OpenAIAgentOptions</t>
  </si>
  <si>
    <t>cannot set the system prompt</t>
  </si>
  <si>
    <t>SystemPrompt is not part of OpenAIAgentOptions</t>
  </si>
  <si>
    <t>Add OpenAIAgent missing property</t>
  </si>
  <si>
    <t>https://github.com/awslabs/multi-agent-orchestrator/pull/155</t>
  </si>
  <si>
    <t>https://github.com/awslabs/multi-agent-orchestrator/issues/121</t>
  </si>
  <si>
    <t>Must install the library that suports the default model even when users are using custom LLMs</t>
  </si>
  <si>
    <t>https://github.com/awslabs/multi-agent-orchestrator/pull/108</t>
  </si>
  <si>
    <t>https://github.com/awslabs/multi-agent-orchestrator/issues/106</t>
  </si>
  <si>
    <t>Agent ID不能有数字，导致有时命名冲突</t>
  </si>
  <si>
    <t>https://github.com/awslabs/multi-agent-orchestrator/pull/165</t>
  </si>
  <si>
    <t>https://github.com/awslabs/multi-agent-orchestrator/issues/80</t>
  </si>
  <si>
    <t>Fix?(swe-agent)</t>
  </si>
  <si>
    <t>No proper coroutine handling</t>
  </si>
  <si>
    <t>Implement asyncio</t>
  </si>
  <si>
    <t>https://github.com/microsoft/autogen/pull/5013</t>
  </si>
  <si>
    <t>tiktoken</t>
  </si>
  <si>
    <t>missing dependency tiktoken</t>
  </si>
  <si>
    <t>Add tiktoken as a dependency in pyproject.toml</t>
  </si>
  <si>
    <t>https://github.com/microsoft/autogen/pull/5008</t>
  </si>
  <si>
    <t>Pydantic serialization warning when saving group chat state</t>
  </si>
  <si>
    <t>Union type AgentEvent | ChatMessage in the group chat's message thread causes Pydantic to raise warning.</t>
  </si>
  <si>
    <t>emoves warnings coming from pydantic being unable to determine allowed message classes.</t>
  </si>
  <si>
    <t>https://github.com/microsoft/autogen/pull/4801</t>
  </si>
  <si>
    <t>https://github.com/microsoft/autogen/issues/4791</t>
  </si>
  <si>
    <t>openai.APITimeoutError: Request timed out.</t>
  </si>
  <si>
    <t>Unable to use custom models</t>
  </si>
  <si>
    <t>Not allowing custom model (not OpenAI model) to be used with OpenAI chat client</t>
  </si>
  <si>
    <t>llowing custom model (not OpenAI model) to be used with OpenAI chat client</t>
  </si>
  <si>
    <t>https://github.com/microsoft/autogen/pull/4808</t>
  </si>
  <si>
    <t>Some util classes not hashable</t>
  </si>
  <si>
    <t>Make Alias, ImproFromModule hashable</t>
  </si>
  <si>
    <t>https://github.com/microsoft/autogen/pull/4734</t>
  </si>
  <si>
    <t>grpc was neglected</t>
  </si>
  <si>
    <t>Add grpcio back to deps</t>
  </si>
  <si>
    <t>https://github.com/microsoft/autogen/pull/4402</t>
  </si>
  <si>
    <t>autogenstudio ui start fails with ImportError</t>
  </si>
  <si>
    <t>Update the message class name</t>
  </si>
  <si>
    <t>the name has beed changed while some codes haven't changed</t>
  </si>
  <si>
    <t>change InnerMessage to AgentMessage</t>
  </si>
  <si>
    <t>https://github.com/microsoft/autogen/pull/4246</t>
  </si>
  <si>
    <t>https://github.com/microsoft/autogen/issues/4245</t>
  </si>
  <si>
    <t>INFO: Application startup complete.</t>
  </si>
  <si>
    <t>token相关的依赖没有导入</t>
  </si>
  <si>
    <t>Missing some imports declaration</t>
  </si>
  <si>
    <t>Explicitly declare necessary imports</t>
  </si>
  <si>
    <t>https://github.com/microsoft/autogen/pull/4204</t>
  </si>
  <si>
    <t>When create user defined functions, an exception occurs because of the deduplication of ImportFromModule</t>
  </si>
  <si>
    <t xml:space="preserve">This fix makes the conversion to string prior to the deduplication to avoid this issue
</t>
  </si>
  <si>
    <t>https://github.com/microsoft/autogen/pull/3362</t>
  </si>
  <si>
    <t xml:space="preserve">from autogen.coding.func_with_reqs import ImportFromModule, with_requirements
@with_requirements(
python_packages=["requests", "urllib3"],
global_imports=["requests", "os", ImportFromModule("urllib.parse", ["urlencode"])]
)
def search_from_web(search_keyword: str):
pass
from autogen.coding.func_with_reqs import _build_python_functions_file
try:
_build_python_functions_file([search_from_web])
except TypeError as e:
print(f"❌ Reproduction successful: {e}")
else:
print("✅ Reproduction failed, TypeError not triggered")
</t>
  </si>
  <si>
    <t>The `overlap` parameter in the `split_text_to_chunks` function is declared but not used when splitting the text, causing no overlap between text chunks, which may affect context continuity.
工具实现错误，也可以视为Invalid Configuration</t>
  </si>
  <si>
    <t>The `overlap` parameter in the `split_text_to_chunks` function is declared but not used when splitting the text, causing no overlap between text chunks, which may affect context continuity.</t>
  </si>
  <si>
    <t>Enable overlap in split_text_to_chunks, not exposed to RAG agent ye</t>
  </si>
  <si>
    <t>https://github.com/microsoft/autogen/pull/2271</t>
  </si>
  <si>
    <t>CI fails for the latest version 8.0.0 of pytest</t>
  </si>
  <si>
    <t>pytest</t>
  </si>
  <si>
    <t>don't limit the version of pytest</t>
  </si>
  <si>
    <t>limited version of pytest to under 8.0.0</t>
  </si>
  <si>
    <t>https://github.com/microsoft/autogen/pull/1437</t>
  </si>
  <si>
    <t>https://github.com/microsoft/autogen/issues/1436</t>
  </si>
  <si>
    <t>inconsistent handling of sync and async function calls</t>
  </si>
  <si>
    <t>Unify the interface for sync and async functions</t>
  </si>
  <si>
    <t>https://github.com/microsoft/autogen/pull/1204</t>
  </si>
  <si>
    <t xml:space="preserve">different code but same error: import autogen
config_list_llama = [
{
'base_url': "https://openkey.cloud/v1",
'api_key': "sk-IAwDmW2DSSvYMTbz28700f79673d4a43BbFe794eBf543eB1"
}
]
llm_config_llama = {
"config_list": config_list_llama,
}
user_proxy = autogen.UserProxyAgent(
name="User_proxy",
system_message="A human admin.",
human_input_mode="NEVER",
)
analyser = autogen.AssistantAgent(
name="Data analyser",
llm_config=llm_config_llama,
)
critic = autogen.AssistantAgent(
name="Critic",
llm_config=llm_config_llama,
)
groupchat = autogen.GroupChat(agents=[user_proxy, analyser, critic], messages=[], max_round=10)
manager = autogen.GroupChatManager(groupchat=groupchat, llm_config=llm_config_llama)
msg = """Download data from /data/inference_generation_sheet.csv and give me some valuable inferences.
"""
res = user_proxy.initiate_chat(manager, message=msg)
</t>
  </si>
  <si>
    <t>mode is only supported in Pydantic v2</t>
  </si>
  <si>
    <t>处理模型输出的时候pydantic库的API用错了 (output parsing)</t>
  </si>
  <si>
    <t>it was not compatible with the old version of pydantic</t>
  </si>
  <si>
    <t>Fix mode dump with different pydantic version</t>
  </si>
  <si>
    <t>https://github.com/microsoft/autogen/pull/1063</t>
  </si>
  <si>
    <t>https://github.com/microsoft/autogen/issues/1058</t>
  </si>
  <si>
    <t>v1 and v2 have different errors</t>
  </si>
  <si>
    <t>the asyncio event loop is not properly initialized before attempting to create an asynchronous task</t>
  </si>
  <si>
    <t>Ensure that the code runs within an active asyncio event loop, typically by using asyncio.run() to start the event loop</t>
  </si>
  <si>
    <t>https://github.com/microsoft/autogen/pull/5164</t>
  </si>
  <si>
    <t>from autogen_ext.runtimes.grpc import GrpcWorkerAgentRuntimeHost
# the original code
def main():
host = GrpcWorkerAgentRuntimeHost(address="0.0.0.0:50051")
host.start() # Start a host service in the background.
if __name__ == "__main__":
main()
# the repaired code 
async def main():
host = GrpcWorkerAgentRuntimeHost(address="0.0.0.0:50051")
host.start() # Start a host service in the background.
try:
print("Service is running. Press Ctrl+C to stop.")
# Wait indefinitely (or you can use another condition to stop the service).
await asyncio.Event().wait()
except KeyboardInterrupt:
print("Stopping service...")
finally:
await host.stop()
print("Service stopped.")</t>
  </si>
  <si>
    <t>The ComponentTool class correctly extracts the input schema from the underlying component (like SerperDevWebSearch). However, when the OpenAIChatGenerator is initialized with tools_strict=True, its internal logic for converting this schema into the final OpenAI-compliant format is flawed. It fails to add the 'additionalProperties': false key-value pair to the JSON schema for the tool's parameters.</t>
  </si>
  <si>
    <t>The ComponentTool's deserialization logic (from_dict method) has a bug.</t>
  </si>
  <si>
    <t>adding a check within the ComponentTool's from_dict deserialization method.</t>
  </si>
  <si>
    <t>The fix adds logic to check if the tools_strict flag is set to True. If it is, the code now explicitly adds the 'additionalProperties': false key to the parameters dictionary of the generated tool schema before it is sent to the OpenAI API.</t>
  </si>
  <si>
    <t>a deficiency in the Vercel AI SDK's utility that converts Zod schemas into the OpenAPI v3 format required by Google Vertex AI. The converter did not have logic to handle the z.record() type.</t>
  </si>
  <si>
    <t>added a new case to the converter that specifically detects when it is processing a ZodRecord. When it finds one, it now correctly generates the compliant OpenAPI schema: an object of type: 'object' that includes the crucial additionalProperties field, ensuring the parameter sent to the Vertex AI API is valid.</t>
  </si>
  <si>
    <t>modifies the Zod-to-OpenAPI converter. The new logic ensures that when it encounters an optional type, it first processes the underlying "inner" type to get all its properties (like description). It then combines these properties with the ["string", "null"] type information, preserving all the necessary metadata in the final schema that is sent to the LLM.</t>
  </si>
  <si>
    <t>a flaw in the Vercel AI SDK's utility that converts Zod schemas into the OpenAPI v3 format. When the converter encountered an optional Zod type (e.g., z.string().optional().describe(...)), it correctly identified that the type could be string or null, but it failed to copy the description and other metadata from the original Zod schema into the final OpenAPI schema.</t>
  </si>
  <si>
    <t>Function-level7</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</si>
</sst>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1"/>
      <name val="Calibri"/>
      <family val="2"/>
      <scheme val="minor"/>
    </font>
    <font>
      <sz val="11"/>
      <color theme="1"/>
      <name val="Calibri"/>
      <family val="2"/>
      <scheme val="minor"/>
    </font>
    <font>
      <sz val="11"/>
      <name val="Calibri"/>
      <family val="2"/>
      <scheme val="minor"/>
    </font>
    <font>
      <b/>
      <sz val="11"/>
      <color rgb="FFFFFFFF"/>
      <name val="Calibri"/>
      <family val="2"/>
      <scheme val="minor"/>
    </font>
    <font>
      <sz val="11"/>
      <color rgb="FF000000"/>
      <name val="Calibri"/>
      <family val="2"/>
      <scheme val="minor"/>
    </font>
    <font>
      <u/>
      <sz val="11"/>
      <color rgb="FF0563C1"/>
      <name val="Calibri"/>
      <family val="2"/>
      <scheme val="minor"/>
    </font>
    <font>
      <sz val="11"/>
      <color theme="1"/>
      <name val="Arial"/>
      <family val="2"/>
    </font>
    <font>
      <u/>
      <sz val="11"/>
      <color rgb="FF1155CC"/>
      <name val="Calibri"/>
      <family val="2"/>
      <scheme val="minor"/>
    </font>
    <font>
      <b/>
      <sz val="11"/>
      <color rgb="FF980000"/>
      <name val="Calibri"/>
      <family val="2"/>
      <scheme val="minor"/>
    </font>
    <font>
      <sz val="11"/>
      <color rgb="FF0563C1"/>
      <name val="Calibri"/>
      <family val="2"/>
      <scheme val="minor"/>
    </font>
    <font>
      <sz val="11"/>
      <color rgb="FF374151"/>
      <name val="Arial"/>
      <family val="2"/>
    </font>
    <font>
      <sz val="11"/>
      <color rgb="FF374151"/>
      <name val="Calibri"/>
      <family val="2"/>
      <scheme val="minor"/>
    </font>
    <font>
      <sz val="11"/>
      <color rgb="FF1F2328"/>
      <name val="Arial"/>
      <family val="2"/>
    </font>
  </fonts>
  <fills count="15">
    <fill>
      <patternFill patternType="none"/>
    </fill>
    <fill>
      <patternFill patternType="gray125"/>
    </fill>
    <fill>
      <patternFill patternType="solid">
        <fgColor theme="4" tint="0.79998168889431442"/>
        <bgColor theme="4" tint="0.79998168889431442"/>
      </patternFill>
    </fill>
    <fill>
      <patternFill patternType="solid">
        <fgColor rgb="FFDEEAF6"/>
        <bgColor indexed="64"/>
      </patternFill>
    </fill>
    <fill>
      <patternFill patternType="solid">
        <fgColor rgb="FFBDD6EE"/>
        <bgColor indexed="64"/>
      </patternFill>
    </fill>
    <fill>
      <patternFill patternType="solid">
        <fgColor rgb="FF00FF00"/>
        <bgColor indexed="64"/>
      </patternFill>
    </fill>
    <fill>
      <patternFill patternType="solid">
        <fgColor rgb="FF5B9BD5"/>
        <bgColor indexed="64"/>
      </patternFill>
    </fill>
    <fill>
      <patternFill patternType="solid">
        <fgColor rgb="FFB7B7B7"/>
        <bgColor indexed="64"/>
      </patternFill>
    </fill>
    <fill>
      <patternFill patternType="solid">
        <fgColor rgb="FF999999"/>
        <bgColor indexed="64"/>
      </patternFill>
    </fill>
    <fill>
      <patternFill patternType="solid">
        <fgColor rgb="FFEAD1DC"/>
        <bgColor indexed="64"/>
      </patternFill>
    </fill>
    <fill>
      <patternFill patternType="solid">
        <fgColor rgb="FF980000"/>
        <bgColor indexed="64"/>
      </patternFill>
    </fill>
    <fill>
      <patternFill patternType="solid">
        <fgColor rgb="FFFF9900"/>
        <bgColor indexed="64"/>
      </patternFill>
    </fill>
    <fill>
      <patternFill patternType="solid">
        <fgColor rgb="FFF4CCCC"/>
        <bgColor indexed="64"/>
      </patternFill>
    </fill>
    <fill>
      <patternFill patternType="solid">
        <fgColor rgb="FFFF0000"/>
        <bgColor indexed="64"/>
      </patternFill>
    </fill>
    <fill>
      <patternFill patternType="solid">
        <fgColor rgb="FF000000"/>
        <bgColor indexed="64"/>
      </patternFill>
    </fill>
  </fills>
  <borders count="12">
    <border>
      <left/>
      <right/>
      <top/>
      <bottom/>
      <diagonal/>
    </border>
    <border>
      <left/>
      <right/>
      <top style="thin">
        <color theme="4" tint="0.39997558519241921"/>
      </top>
      <bottom style="thin">
        <color theme="4" tint="0.39997558519241921"/>
      </bottom>
      <diagonal/>
    </border>
    <border>
      <left/>
      <right style="thin">
        <color indexed="64"/>
      </right>
      <top/>
      <bottom/>
      <diagonal/>
    </border>
    <border>
      <left style="thin">
        <color indexed="64"/>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139">
    <xf numFmtId="0" fontId="0" fillId="0" borderId="0" xfId="0"/>
    <xf numFmtId="0" fontId="0" fillId="0" borderId="0" xfId="0" applyAlignment="1">
      <alignment wrapText="1"/>
    </xf>
    <xf numFmtId="0" fontId="0" fillId="0" borderId="2" xfId="0" applyBorder="1" applyAlignment="1">
      <alignment wrapText="1"/>
    </xf>
    <xf numFmtId="2" fontId="0" fillId="0" borderId="0" xfId="0" applyNumberFormat="1" applyFill="1" applyAlignment="1">
      <alignment wrapText="1"/>
    </xf>
    <xf numFmtId="2" fontId="0" fillId="0" borderId="2" xfId="0" applyNumberFormat="1" applyFill="1" applyBorder="1" applyAlignment="1">
      <alignment wrapText="1"/>
    </xf>
    <xf numFmtId="2" fontId="0" fillId="0" borderId="0" xfId="0" applyNumberFormat="1" applyFill="1" applyBorder="1" applyAlignment="1">
      <alignment wrapText="1"/>
    </xf>
    <xf numFmtId="2" fontId="0" fillId="0" borderId="3" xfId="0" applyNumberFormat="1" applyFill="1" applyBorder="1" applyAlignment="1">
      <alignment wrapText="1"/>
    </xf>
    <xf numFmtId="0" fontId="6" fillId="0" borderId="0" xfId="0" applyFont="1"/>
    <xf numFmtId="0" fontId="6" fillId="0" borderId="0" xfId="0" applyFont="1" applyAlignment="1">
      <alignment wrapText="1"/>
    </xf>
    <xf numFmtId="0" fontId="0" fillId="2" borderId="1" xfId="0" applyFont="1" applyFill="1" applyBorder="1" applyAlignment="1">
      <alignment wrapText="1"/>
    </xf>
    <xf numFmtId="0" fontId="0" fillId="2" borderId="1" xfId="0" applyFont="1" applyFill="1" applyBorder="1" applyAlignment="1">
      <alignment horizontal="right" wrapText="1"/>
    </xf>
    <xf numFmtId="0" fontId="0" fillId="0" borderId="1" xfId="0" applyFont="1" applyBorder="1" applyAlignment="1">
      <alignment wrapText="1"/>
    </xf>
    <xf numFmtId="0" fontId="0" fillId="0" borderId="1" xfId="0" applyFont="1" applyBorder="1" applyAlignment="1">
      <alignment horizontal="right" wrapText="1"/>
    </xf>
    <xf numFmtId="0" fontId="8" fillId="3" borderId="4" xfId="0" applyFont="1" applyFill="1" applyBorder="1" applyAlignment="1">
      <alignment horizontal="center" wrapText="1"/>
    </xf>
    <xf numFmtId="0" fontId="0" fillId="0" borderId="5" xfId="0" applyFont="1" applyBorder="1" applyAlignment="1">
      <alignment wrapText="1"/>
    </xf>
    <xf numFmtId="0" fontId="0" fillId="0" borderId="5" xfId="0" applyFont="1" applyBorder="1" applyAlignment="1">
      <alignment horizontal="right" wrapText="1"/>
    </xf>
    <xf numFmtId="0" fontId="9" fillId="0" borderId="5" xfId="0" applyFont="1" applyBorder="1" applyAlignment="1">
      <alignment wrapText="1"/>
    </xf>
    <xf numFmtId="0" fontId="9" fillId="0" borderId="5" xfId="0" applyFont="1" applyBorder="1" applyAlignment="1">
      <alignment horizontal="right" wrapText="1"/>
    </xf>
    <xf numFmtId="0" fontId="6" fillId="0" borderId="5" xfId="0" applyFont="1" applyBorder="1" applyAlignment="1">
      <alignment horizontal="right" wrapText="1"/>
    </xf>
    <xf numFmtId="0" fontId="0" fillId="3" borderId="0" xfId="0" applyFill="1" applyAlignment="1">
      <alignment wrapText="1"/>
    </xf>
    <xf numFmtId="2" fontId="0" fillId="0" borderId="0" xfId="0" applyNumberFormat="1"/>
    <xf numFmtId="0" fontId="0" fillId="0" borderId="2" xfId="0" applyBorder="1"/>
    <xf numFmtId="0" fontId="0" fillId="0" borderId="0" xfId="0" applyFill="1" applyAlignment="1">
      <alignment wrapText="1"/>
    </xf>
    <xf numFmtId="0" fontId="7" fillId="0" borderId="0" xfId="2" applyFill="1" applyAlignment="1">
      <alignment wrapText="1"/>
    </xf>
    <xf numFmtId="2" fontId="0" fillId="0" borderId="3" xfId="0" applyNumberFormat="1" applyFill="1" applyBorder="1" applyAlignment="1">
      <alignment horizontal="right" wrapText="1"/>
    </xf>
    <xf numFmtId="2" fontId="0" fillId="0" borderId="0" xfId="0" applyNumberFormat="1" applyFill="1" applyAlignment="1">
      <alignment horizontal="right" wrapText="1"/>
    </xf>
    <xf numFmtId="2" fontId="0" fillId="0" borderId="2" xfId="0" applyNumberFormat="1" applyFill="1" applyBorder="1" applyAlignment="1">
      <alignment horizontal="right" wrapText="1"/>
    </xf>
    <xf numFmtId="2" fontId="0" fillId="0" borderId="0" xfId="0" applyNumberFormat="1" applyFill="1" applyBorder="1" applyAlignment="1">
      <alignment horizontal="right" wrapText="1"/>
    </xf>
    <xf numFmtId="2" fontId="6" fillId="0" borderId="0" xfId="0" applyNumberFormat="1" applyFont="1"/>
    <xf numFmtId="10" fontId="6" fillId="0" borderId="0" xfId="1" applyNumberFormat="1" applyFont="1"/>
    <xf numFmtId="0" fontId="0" fillId="0" borderId="0" xfId="0" applyFont="1"/>
    <xf numFmtId="0" fontId="6" fillId="0" borderId="0" xfId="0" applyFont="1" applyAlignment="1">
      <alignment horizontal="center" wrapText="1"/>
    </xf>
    <xf numFmtId="0" fontId="0" fillId="0" borderId="1" xfId="0" applyFont="1" applyFill="1" applyBorder="1" applyAlignment="1">
      <alignment wrapText="1"/>
    </xf>
    <xf numFmtId="0" fontId="5" fillId="0" borderId="1" xfId="0" applyFont="1" applyFill="1" applyBorder="1" applyAlignment="1">
      <alignment horizontal="center" wrapText="1"/>
    </xf>
    <xf numFmtId="0" fontId="0" fillId="0" borderId="0" xfId="0" applyFill="1"/>
    <xf numFmtId="0" fontId="6" fillId="0" borderId="0" xfId="0" applyFont="1" applyFill="1" applyAlignment="1">
      <alignment wrapText="1"/>
    </xf>
    <xf numFmtId="0" fontId="6" fillId="0" borderId="0" xfId="0" applyFont="1" applyFill="1" applyAlignment="1">
      <alignment horizontal="center" wrapText="1"/>
    </xf>
    <xf numFmtId="2" fontId="0" fillId="0" borderId="0" xfId="0" applyNumberFormat="1" applyFill="1"/>
    <xf numFmtId="2" fontId="6" fillId="0" borderId="0" xfId="0" applyNumberFormat="1" applyFont="1" applyFill="1"/>
    <xf numFmtId="9" fontId="0" fillId="0" borderId="0" xfId="1" applyFont="1"/>
    <xf numFmtId="0" fontId="6" fillId="0" borderId="3" xfId="0" applyFont="1" applyBorder="1"/>
    <xf numFmtId="10" fontId="0" fillId="0" borderId="0" xfId="1" applyNumberFormat="1" applyFont="1" applyBorder="1"/>
    <xf numFmtId="10" fontId="0" fillId="0" borderId="2" xfId="1" applyNumberFormat="1" applyFont="1" applyBorder="1"/>
    <xf numFmtId="0" fontId="6" fillId="0" borderId="6" xfId="0" applyFont="1" applyBorder="1"/>
    <xf numFmtId="10" fontId="0" fillId="0" borderId="7" xfId="1" applyNumberFormat="1" applyFont="1" applyBorder="1"/>
    <xf numFmtId="10" fontId="0" fillId="0" borderId="8" xfId="1" applyNumberFormat="1" applyFont="1" applyBorder="1"/>
    <xf numFmtId="0" fontId="10" fillId="0" borderId="0" xfId="2" applyFont="1"/>
    <xf numFmtId="0" fontId="0" fillId="4" borderId="0" xfId="0" applyFill="1" applyAlignment="1">
      <alignment wrapText="1"/>
    </xf>
    <xf numFmtId="0" fontId="0" fillId="5" borderId="0" xfId="0" applyFill="1" applyAlignment="1">
      <alignment wrapText="1"/>
    </xf>
    <xf numFmtId="0" fontId="11" fillId="5" borderId="0" xfId="0" applyFont="1" applyFill="1" applyAlignment="1">
      <alignment wrapText="1"/>
    </xf>
    <xf numFmtId="0" fontId="0" fillId="6" borderId="0" xfId="0" applyFill="1" applyAlignment="1">
      <alignment wrapText="1"/>
    </xf>
    <xf numFmtId="0" fontId="11" fillId="6" borderId="0" xfId="0" applyFont="1" applyFill="1" applyAlignment="1">
      <alignment wrapText="1"/>
    </xf>
    <xf numFmtId="0" fontId="11" fillId="6" borderId="0" xfId="0" applyFont="1" applyFill="1" applyAlignment="1">
      <alignment horizontal="right" wrapText="1"/>
    </xf>
    <xf numFmtId="0" fontId="0" fillId="5" borderId="0" xfId="0" applyFill="1" applyAlignment="1">
      <alignment vertical="center" wrapText="1"/>
    </xf>
    <xf numFmtId="0" fontId="0" fillId="3" borderId="0" xfId="0" applyFill="1" applyAlignment="1">
      <alignment vertical="center" wrapText="1"/>
    </xf>
    <xf numFmtId="0" fontId="12" fillId="3" borderId="0" xfId="0" applyFont="1" applyFill="1" applyAlignment="1">
      <alignment vertical="center" wrapText="1"/>
    </xf>
    <xf numFmtId="0" fontId="2" fillId="3" borderId="0" xfId="0" applyFont="1" applyFill="1" applyAlignment="1">
      <alignment vertical="center" wrapText="1"/>
    </xf>
    <xf numFmtId="0" fontId="7" fillId="3" borderId="0" xfId="2" applyFill="1" applyAlignment="1">
      <alignment vertical="center" wrapText="1"/>
    </xf>
    <xf numFmtId="0" fontId="0" fillId="7" borderId="0" xfId="0" applyFill="1" applyAlignment="1">
      <alignment vertical="center" wrapText="1"/>
    </xf>
    <xf numFmtId="0" fontId="12" fillId="7" borderId="0" xfId="0" applyFont="1" applyFill="1" applyAlignment="1">
      <alignment vertical="center" wrapText="1"/>
    </xf>
    <xf numFmtId="0" fontId="3" fillId="7" borderId="0" xfId="0" applyFont="1" applyFill="1" applyAlignment="1">
      <alignment vertical="center" wrapText="1"/>
    </xf>
    <xf numFmtId="0" fontId="0" fillId="7" borderId="0" xfId="0" applyFill="1" applyAlignment="1">
      <alignment wrapText="1"/>
    </xf>
    <xf numFmtId="0" fontId="7" fillId="7" borderId="0" xfId="2" applyFill="1" applyAlignment="1">
      <alignment vertical="center" wrapText="1"/>
    </xf>
    <xf numFmtId="0" fontId="12" fillId="3" borderId="0" xfId="0" applyFont="1" applyFill="1" applyAlignment="1">
      <alignment wrapText="1"/>
    </xf>
    <xf numFmtId="0" fontId="0" fillId="4" borderId="0" xfId="0" applyFill="1" applyAlignment="1">
      <alignment vertical="center" wrapText="1"/>
    </xf>
    <xf numFmtId="0" fontId="2" fillId="4" borderId="0" xfId="0" applyFont="1" applyFill="1" applyAlignment="1">
      <alignment vertical="center" wrapText="1"/>
    </xf>
    <xf numFmtId="0" fontId="13" fillId="4" borderId="0" xfId="0" applyFont="1" applyFill="1" applyAlignment="1">
      <alignment wrapText="1"/>
    </xf>
    <xf numFmtId="0" fontId="7" fillId="4" borderId="0" xfId="2" applyFill="1" applyAlignment="1">
      <alignment wrapText="1"/>
    </xf>
    <xf numFmtId="0" fontId="0" fillId="4" borderId="0" xfId="0" applyFill="1" applyAlignment="1">
      <alignment horizontal="right" wrapText="1"/>
    </xf>
    <xf numFmtId="0" fontId="13" fillId="3" borderId="0" xfId="0" applyFont="1" applyFill="1" applyAlignment="1">
      <alignment wrapText="1"/>
    </xf>
    <xf numFmtId="0" fontId="7" fillId="3" borderId="0" xfId="2" applyFill="1" applyAlignment="1">
      <alignment wrapText="1"/>
    </xf>
    <xf numFmtId="0" fontId="0" fillId="8" borderId="0" xfId="0" applyFill="1" applyAlignment="1">
      <alignment wrapText="1"/>
    </xf>
    <xf numFmtId="0" fontId="2" fillId="8" borderId="0" xfId="0" applyFont="1" applyFill="1" applyAlignment="1">
      <alignment vertical="center" wrapText="1"/>
    </xf>
    <xf numFmtId="0" fontId="13" fillId="8" borderId="0" xfId="0" applyFont="1" applyFill="1" applyAlignment="1">
      <alignment wrapText="1"/>
    </xf>
    <xf numFmtId="0" fontId="7" fillId="8" borderId="0" xfId="2" applyFill="1" applyAlignment="1">
      <alignment wrapText="1"/>
    </xf>
    <xf numFmtId="0" fontId="0" fillId="3" borderId="0" xfId="0" applyFill="1" applyAlignment="1">
      <alignment horizontal="right" wrapText="1"/>
    </xf>
    <xf numFmtId="0" fontId="0" fillId="9" borderId="0" xfId="0" applyFill="1" applyAlignment="1">
      <alignment wrapText="1"/>
    </xf>
    <xf numFmtId="0" fontId="2" fillId="9" borderId="0" xfId="0" applyFont="1" applyFill="1" applyAlignment="1">
      <alignment vertical="center" wrapText="1"/>
    </xf>
    <xf numFmtId="0" fontId="7" fillId="9" borderId="0" xfId="2" applyFill="1" applyAlignment="1">
      <alignment wrapText="1"/>
    </xf>
    <xf numFmtId="0" fontId="0" fillId="9" borderId="0" xfId="0" applyFill="1" applyAlignment="1">
      <alignment horizontal="right" wrapText="1"/>
    </xf>
    <xf numFmtId="0" fontId="12" fillId="8" borderId="0" xfId="0" applyFont="1" applyFill="1" applyAlignment="1">
      <alignment wrapText="1"/>
    </xf>
    <xf numFmtId="0" fontId="14" fillId="4" borderId="0" xfId="0" applyFont="1" applyFill="1" applyAlignment="1">
      <alignment wrapText="1"/>
    </xf>
    <xf numFmtId="0" fontId="12" fillId="7" borderId="0" xfId="0" applyFont="1" applyFill="1" applyAlignment="1">
      <alignment wrapText="1"/>
    </xf>
    <xf numFmtId="0" fontId="2" fillId="7" borderId="0" xfId="0" applyFont="1" applyFill="1" applyAlignment="1">
      <alignment vertical="center" wrapText="1"/>
    </xf>
    <xf numFmtId="0" fontId="7" fillId="7" borderId="0" xfId="2" applyFill="1" applyAlignment="1">
      <alignment wrapText="1"/>
    </xf>
    <xf numFmtId="0" fontId="12" fillId="4" borderId="0" xfId="0" applyFont="1" applyFill="1" applyAlignment="1">
      <alignment wrapText="1"/>
    </xf>
    <xf numFmtId="0" fontId="14" fillId="3" borderId="0" xfId="0" applyFont="1" applyFill="1" applyAlignment="1">
      <alignment wrapText="1"/>
    </xf>
    <xf numFmtId="0" fontId="0" fillId="10" borderId="0" xfId="0" applyFill="1" applyAlignment="1">
      <alignment wrapText="1"/>
    </xf>
    <xf numFmtId="0" fontId="14" fillId="8" borderId="0" xfId="0" applyFont="1" applyFill="1" applyAlignment="1">
      <alignment wrapText="1"/>
    </xf>
    <xf numFmtId="16" fontId="0" fillId="3" borderId="0" xfId="0" applyNumberFormat="1" applyFill="1" applyAlignment="1">
      <alignment wrapText="1"/>
    </xf>
    <xf numFmtId="16" fontId="0" fillId="4" borderId="0" xfId="0" applyNumberFormat="1" applyFill="1" applyAlignment="1">
      <alignment wrapText="1"/>
    </xf>
    <xf numFmtId="16" fontId="0" fillId="9" borderId="0" xfId="0" applyNumberFormat="1" applyFill="1" applyAlignment="1">
      <alignment horizontal="right" wrapText="1"/>
    </xf>
    <xf numFmtId="16" fontId="0" fillId="3" borderId="0" xfId="0" applyNumberFormat="1" applyFill="1" applyAlignment="1">
      <alignment horizontal="right" wrapText="1"/>
    </xf>
    <xf numFmtId="0" fontId="0" fillId="11" borderId="0" xfId="0" applyFill="1" applyAlignment="1">
      <alignment wrapText="1"/>
    </xf>
    <xf numFmtId="0" fontId="2" fillId="11" borderId="0" xfId="0" applyFont="1" applyFill="1" applyAlignment="1">
      <alignment vertical="center" wrapText="1"/>
    </xf>
    <xf numFmtId="0" fontId="13" fillId="11" borderId="0" xfId="0" applyFont="1" applyFill="1" applyAlignment="1">
      <alignment wrapText="1"/>
    </xf>
    <xf numFmtId="0" fontId="7" fillId="11" borderId="0" xfId="2" applyFill="1" applyAlignment="1">
      <alignment wrapText="1"/>
    </xf>
    <xf numFmtId="17" fontId="0" fillId="3" borderId="0" xfId="0" applyNumberFormat="1" applyFill="1" applyAlignment="1">
      <alignment wrapText="1"/>
    </xf>
    <xf numFmtId="0" fontId="11" fillId="3" borderId="0" xfId="0" applyFont="1" applyFill="1" applyAlignment="1">
      <alignment wrapText="1"/>
    </xf>
    <xf numFmtId="0" fontId="17" fillId="4" borderId="0" xfId="0" applyFont="1" applyFill="1" applyAlignment="1">
      <alignment wrapText="1"/>
    </xf>
    <xf numFmtId="0" fontId="17" fillId="3" borderId="0" xfId="0" applyFont="1" applyFill="1" applyAlignment="1">
      <alignment wrapText="1"/>
    </xf>
    <xf numFmtId="0" fontId="12" fillId="9" borderId="0" xfId="0" applyFont="1" applyFill="1" applyAlignment="1">
      <alignment wrapText="1"/>
    </xf>
    <xf numFmtId="0" fontId="17" fillId="9" borderId="0" xfId="0" applyFont="1" applyFill="1" applyAlignment="1">
      <alignment wrapText="1"/>
    </xf>
    <xf numFmtId="0" fontId="17" fillId="7" borderId="0" xfId="0" applyFont="1" applyFill="1" applyAlignment="1">
      <alignment wrapText="1"/>
    </xf>
    <xf numFmtId="0" fontId="0" fillId="0" borderId="0" xfId="0" applyAlignment="1">
      <alignment horizontal="right" wrapText="1"/>
    </xf>
    <xf numFmtId="0" fontId="7" fillId="5" borderId="0" xfId="2" applyFill="1" applyAlignment="1">
      <alignment wrapText="1"/>
    </xf>
    <xf numFmtId="0" fontId="11" fillId="6" borderId="0" xfId="0" applyFont="1" applyFill="1" applyAlignment="1">
      <alignment vertical="center"/>
    </xf>
    <xf numFmtId="0" fontId="18" fillId="4" borderId="0" xfId="0" applyFont="1" applyFill="1" applyAlignment="1">
      <alignment wrapText="1"/>
    </xf>
    <xf numFmtId="0" fontId="19" fillId="4" borderId="0" xfId="0" applyFont="1" applyFill="1" applyAlignment="1">
      <alignment wrapText="1"/>
    </xf>
    <xf numFmtId="0" fontId="19" fillId="3" borderId="0" xfId="0" applyFont="1" applyFill="1" applyAlignment="1">
      <alignment wrapText="1"/>
    </xf>
    <xf numFmtId="0" fontId="14" fillId="12" borderId="0" xfId="0" applyFont="1" applyFill="1" applyAlignment="1">
      <alignment wrapText="1"/>
    </xf>
    <xf numFmtId="0" fontId="12" fillId="11" borderId="0" xfId="0" applyFont="1" applyFill="1" applyAlignment="1">
      <alignment wrapText="1"/>
    </xf>
    <xf numFmtId="0" fontId="0" fillId="13" borderId="0" xfId="0" applyFill="1" applyAlignment="1">
      <alignment wrapText="1"/>
    </xf>
    <xf numFmtId="0" fontId="12" fillId="4" borderId="0" xfId="0" applyFont="1" applyFill="1" applyAlignment="1">
      <alignment vertical="center" wrapText="1"/>
    </xf>
    <xf numFmtId="0" fontId="11" fillId="4" borderId="0" xfId="0" applyFont="1" applyFill="1" applyAlignment="1">
      <alignment wrapText="1"/>
    </xf>
    <xf numFmtId="0" fontId="2" fillId="3" borderId="0" xfId="0" applyFont="1" applyFill="1" applyAlignment="1">
      <alignment wrapText="1"/>
    </xf>
    <xf numFmtId="0" fontId="3" fillId="8" borderId="0" xfId="0" applyFont="1" applyFill="1" applyAlignment="1">
      <alignment wrapText="1"/>
    </xf>
    <xf numFmtId="0" fontId="0" fillId="3" borderId="0" xfId="0" applyFill="1" applyAlignment="1">
      <alignment vertical="center"/>
    </xf>
    <xf numFmtId="0" fontId="4" fillId="4" borderId="0" xfId="0" applyFont="1" applyFill="1" applyAlignment="1">
      <alignment wrapText="1"/>
    </xf>
    <xf numFmtId="0" fontId="2" fillId="4" borderId="0" xfId="0" applyFont="1" applyFill="1" applyAlignment="1">
      <alignment wrapText="1"/>
    </xf>
    <xf numFmtId="0" fontId="20" fillId="8" borderId="0" xfId="0" applyFont="1" applyFill="1" applyAlignment="1">
      <alignment wrapText="1"/>
    </xf>
    <xf numFmtId="0" fontId="2" fillId="8" borderId="0" xfId="0" applyFont="1" applyFill="1" applyAlignment="1">
      <alignment wrapText="1"/>
    </xf>
    <xf numFmtId="0" fontId="15" fillId="8" borderId="0" xfId="0" applyFont="1" applyFill="1" applyAlignment="1">
      <alignment wrapText="1"/>
    </xf>
    <xf numFmtId="0" fontId="2" fillId="11" borderId="0" xfId="0" applyFont="1" applyFill="1" applyAlignment="1">
      <alignment wrapText="1"/>
    </xf>
    <xf numFmtId="0" fontId="0" fillId="10" borderId="0" xfId="0" applyFill="1" applyAlignment="1">
      <alignment horizontal="right" wrapText="1"/>
    </xf>
    <xf numFmtId="0" fontId="11" fillId="3" borderId="0" xfId="0" applyFont="1" applyFill="1" applyAlignment="1">
      <alignment vertical="center"/>
    </xf>
    <xf numFmtId="0" fontId="11" fillId="14" borderId="0" xfId="0" applyFont="1" applyFill="1" applyAlignment="1">
      <alignment wrapText="1"/>
    </xf>
    <xf numFmtId="0" fontId="2" fillId="0" borderId="0" xfId="0" applyFont="1" applyFill="1" applyAlignment="1">
      <alignment vertical="center" wrapText="1"/>
    </xf>
    <xf numFmtId="0" fontId="7" fillId="0" borderId="1" xfId="2" applyFont="1" applyFill="1" applyBorder="1" applyAlignment="1">
      <alignment wrapText="1"/>
    </xf>
    <xf numFmtId="0" fontId="0" fillId="0" borderId="0" xfId="0" applyFont="1" applyAlignment="1">
      <alignment wrapText="1"/>
    </xf>
    <xf numFmtId="0" fontId="6" fillId="0" borderId="9" xfId="0" applyFont="1" applyBorder="1" applyAlignment="1">
      <alignment horizontal="center" wrapText="1"/>
    </xf>
    <xf numFmtId="0" fontId="6" fillId="0" borderId="10" xfId="0" applyFont="1" applyBorder="1" applyAlignment="1">
      <alignment horizontal="center" wrapText="1"/>
    </xf>
    <xf numFmtId="0" fontId="6" fillId="0" borderId="11" xfId="0" applyFont="1" applyBorder="1" applyAlignment="1">
      <alignment horizontal="center" wrapText="1"/>
    </xf>
    <xf numFmtId="0" fontId="6" fillId="0" borderId="0" xfId="0" applyFont="1" applyAlignment="1">
      <alignment horizontal="center" wrapText="1"/>
    </xf>
    <xf numFmtId="0" fontId="8" fillId="0" borderId="0" xfId="2" applyFont="1" applyAlignment="1">
      <alignment horizontal="center"/>
    </xf>
    <xf numFmtId="0" fontId="6" fillId="0" borderId="0" xfId="0" applyFont="1" applyAlignment="1">
      <alignment horizontal="center"/>
    </xf>
    <xf numFmtId="0" fontId="6" fillId="0" borderId="0" xfId="0" applyFont="1" applyFill="1" applyAlignment="1">
      <alignment horizontal="center" wrapText="1"/>
    </xf>
    <xf numFmtId="0" fontId="6" fillId="10" borderId="0" xfId="0" applyFont="1" applyFill="1" applyAlignment="1">
      <alignment horizontal="center" wrapText="1"/>
    </xf>
    <xf numFmtId="0" fontId="16" fillId="10" borderId="0" xfId="0" applyFont="1" applyFill="1" applyAlignment="1">
      <alignment horizontal="center" wrapText="1"/>
    </xf>
  </cellXfs>
  <cellStyles count="3">
    <cellStyle name="Hyperlink" xfId="2" builtinId="8"/>
    <cellStyle name="Normal" xfId="0" builtinId="0"/>
    <cellStyle name="Percent" xfId="1" builtinId="5"/>
  </cellStyles>
  <dxfs count="97">
    <dxf>
      <numFmt numFmtId="2" formatCode="0.00"/>
      <fill>
        <patternFill patternType="none">
          <fgColor indexed="64"/>
          <bgColor auto="1"/>
        </patternFill>
      </fill>
      <alignment horizontal="general" vertical="bottom" textRotation="0" wrapText="1"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bottom/>
      </border>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bottom/>
      </border>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bottom/>
      </border>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bottom/>
      </border>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horizontal="general" vertical="bottom" textRotation="0" wrapText="1" indent="0" justifyLastLine="0" shrinkToFit="0" readingOrder="0"/>
    </dxf>
    <dxf>
      <numFmt numFmtId="2" formatCode="0.00"/>
      <fill>
        <patternFill patternType="none">
          <fgColor indexed="64"/>
          <bgColor auto="1"/>
        </patternFill>
      </fill>
      <alignment vertical="bottom" textRotation="0" wrapText="1" indent="0" justifyLastLine="0" shrinkToFit="0" readingOrder="0"/>
      <border diagonalUp="0" diagonalDown="0" outline="0">
        <left/>
        <right style="thin">
          <color indexed="64"/>
        </right>
        <top/>
        <bottom/>
      </border>
    </dxf>
    <dxf>
      <numFmt numFmtId="2" formatCode="0.00"/>
      <fill>
        <patternFill patternType="none">
          <fgColor indexed="64"/>
          <bgColor auto="1"/>
        </patternFill>
      </fill>
      <alignment vertical="bottom" textRotation="0" wrapText="1" indent="0" justifyLastLine="0" shrinkToFit="0" readingOrder="0"/>
    </dxf>
    <dxf>
      <numFmt numFmtId="2" formatCode="0.00"/>
      <fill>
        <patternFill patternType="none">
          <fgColor indexed="64"/>
          <bgColor auto="1"/>
        </patternFill>
      </fill>
      <alignment vertical="bottom" textRotation="0" wrapText="1" indent="0" justifyLastLine="0" shrinkToFit="0" readingOrder="0"/>
    </dxf>
    <dxf>
      <numFmt numFmtId="2" formatCode="0.00"/>
      <fill>
        <patternFill patternType="none">
          <fgColor indexed="64"/>
          <bgColor auto="1"/>
        </patternFill>
      </fill>
      <alignment vertical="bottom" textRotation="0" wrapText="1" indent="0" justifyLastLine="0" shrinkToFit="0" readingOrder="0"/>
      <border diagonalUp="0" diagonalDown="0" outline="0">
        <left style="thin">
          <color indexed="64"/>
        </left>
        <right/>
        <top/>
        <bottom/>
      </border>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vertical="bottom" textRotation="0" wrapText="1" indent="0" justifyLastLine="0" shrinkToFit="0" readingOrder="0"/>
    </dxf>
    <dxf>
      <fill>
        <patternFill patternType="none">
          <fgColor indexed="64"/>
          <bgColor auto="1"/>
        </patternFill>
      </fill>
      <alignment vertical="bottom" textRotation="0" wrapText="1" indent="0" justifyLastLine="0" shrinkToFit="0" readingOrder="0"/>
    </dxf>
    <dxf>
      <fill>
        <patternFill patternType="none">
          <fgColor indexed="64"/>
          <bgColor auto="1"/>
        </patternFill>
      </fill>
      <alignmen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strike val="0"/>
        <outline val="0"/>
        <shadow val="0"/>
        <u val="none"/>
        <vertAlign val="baseline"/>
        <sz val="11"/>
        <color auto="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numFmt numFmtId="2" formatCode="0.00"/>
      <fill>
        <patternFill patternType="none">
          <fgColor indexed="64"/>
          <bgColor indexed="65"/>
        </patternFill>
      </fill>
    </dxf>
    <dxf>
      <numFmt numFmtId="2" formatCode="0.00"/>
      <fill>
        <patternFill patternType="none">
          <fgColor indexed="64"/>
          <bgColor indexed="65"/>
        </patternFill>
      </fill>
    </dxf>
    <dxf>
      <numFmt numFmtId="2" formatCode="0.00"/>
      <fill>
        <patternFill patternType="none">
          <fgColor indexed="64"/>
          <bgColor indexed="65"/>
        </patternFill>
      </fill>
    </dxf>
    <dxf>
      <numFmt numFmtId="2" formatCode="0.00"/>
      <fill>
        <patternFill patternType="none">
          <fgColor indexed="64"/>
          <bgColor indexed="65"/>
        </patternFill>
      </fill>
    </dxf>
    <dxf>
      <numFmt numFmtId="2" formatCode="0.00"/>
      <fill>
        <patternFill patternType="none">
          <fgColor indexed="64"/>
          <bgColor indexed="65"/>
        </patternFill>
      </fill>
    </dxf>
    <dxf>
      <numFmt numFmtId="2" formatCode="0.00"/>
      <fill>
        <patternFill patternType="none">
          <fgColor indexed="64"/>
          <bgColor indexed="65"/>
        </patternFill>
      </fill>
    </dxf>
    <dxf>
      <numFmt numFmtId="2" formatCode="0.00"/>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ill>
        <patternFill patternType="none">
          <fgColor indexed="64"/>
          <bgColor indexed="65"/>
        </patternFill>
      </fill>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bottom" textRotation="0" wrapText="1" indent="0" justifyLastLine="0" shrinkToFit="0" readingOrder="0"/>
    </dxf>
    <dxf>
      <numFmt numFmtId="2" formatCode="0.00"/>
    </dxf>
    <dxf>
      <numFmt numFmtId="2" formatCode="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right"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alignment horizontal="right"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auto="1"/>
        <name val="Calibri"/>
        <scheme val="minor"/>
      </font>
      <fill>
        <patternFill patternType="solid">
          <fgColor indexed="64"/>
          <bgColor rgb="FFDEEAF6"/>
        </patternFill>
      </fill>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jects/AgentIssue-Bench%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onomy"/>
      <sheetName val="50 AgentIssues-Bench"/>
      <sheetName val="Patches"/>
      <sheetName val="20 Extra AgentIssues-Bench"/>
      <sheetName val="Statistics"/>
      <sheetName val="SWEGENT-BENCH"/>
      <sheetName val="50 AgentIssues-Bench (3)"/>
      <sheetName val="50 AgentIssues-Bench (2)"/>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id="1" name="Table1" displayName="Table1" ref="A1:E22" totalsRowShown="0" headerRowDxfId="96" dataDxfId="94" headerRowBorderDxfId="95" tableBorderDxfId="93" totalsRowBorderDxfId="92">
  <autoFilter ref="A1:E22"/>
  <tableColumns count="5">
    <tableColumn id="1" name="Category" dataDxfId="91"/>
    <tableColumn id="2" name="Sub-category" dataDxfId="90"/>
    <tableColumn id="3" name="Description" dataDxfId="89"/>
    <tableColumn id="4" name="Replicated Count" dataDxfId="88"/>
    <tableColumn id="5" name="Total Count" dataDxfId="87"/>
  </tableColumns>
  <tableStyleInfo name="TableStyleLight9" showFirstColumn="0" showLastColumn="0" showRowStripes="1" showColumnStripes="0"/>
</table>
</file>

<file path=xl/tables/table2.xml><?xml version="1.0" encoding="utf-8"?>
<table xmlns="http://schemas.openxmlformats.org/spreadsheetml/2006/main" id="3" name="Table3" displayName="Table3" ref="A3:C6" totalsRowShown="0">
  <autoFilter ref="A3:C6"/>
  <tableColumns count="3">
    <tableColumn id="1" name="SE Agents" dataDxfId="86"/>
    <tableColumn id="2" name="gpt-4o" dataDxfId="85"/>
    <tableColumn id="3" name="claude-3.5" dataDxfId="84"/>
  </tableColumns>
  <tableStyleInfo name="TableStyleMedium2" showFirstColumn="0" showLastColumn="0" showRowStripes="1" showColumnStripes="0"/>
</table>
</file>

<file path=xl/tables/table3.xml><?xml version="1.0" encoding="utf-8"?>
<table xmlns="http://schemas.openxmlformats.org/spreadsheetml/2006/main" id="7" name="Table7" displayName="Table7" ref="A12:I32" totalsRowShown="0" headerRowDxfId="83" dataDxfId="82" tableBorderDxfId="81">
  <autoFilter ref="A12:I32"/>
  <tableColumns count="9">
    <tableColumn id="1" name="Category" dataDxfId="80"/>
    <tableColumn id="2" name="Sub-category" dataDxfId="79"/>
    <tableColumn id="3" name="Agentless" dataDxfId="78"/>
    <tableColumn id="4" name="SWE-Agent" dataDxfId="77"/>
    <tableColumn id="5" name="AutoCodeRover" dataDxfId="76"/>
    <tableColumn id="6" name="Agentless2" dataDxfId="75"/>
    <tableColumn id="7" name="SWE-Agent3" dataDxfId="74"/>
    <tableColumn id="8" name="AutoCodeRover4" dataDxfId="73"/>
    <tableColumn id="9" name="Total" dataDxfId="72"/>
  </tableColumns>
  <tableStyleInfo name="TableStyleMedium2" showFirstColumn="0" showLastColumn="0" showRowStripes="1" showColumnStripes="0"/>
</table>
</file>

<file path=xl/tables/table4.xml><?xml version="1.0" encoding="utf-8"?>
<table xmlns="http://schemas.openxmlformats.org/spreadsheetml/2006/main" id="8" name="Table8" displayName="Table8" ref="A53:G55" totalsRowShown="0" headerRowDxfId="71" dataDxfId="70" dataCellStyle="Percent">
  <autoFilter ref="A53:G55"/>
  <tableColumns count="7">
    <tableColumn id="1" name="Pass@k" dataDxfId="69" dataCellStyle="Hyperlink"/>
    <tableColumn id="2" name="Agentless" dataDxfId="68" dataCellStyle="Percent">
      <calculatedColumnFormula>COUNTIF([1]!Table2[Correct], "&gt;0")/50</calculatedColumnFormula>
    </tableColumn>
    <tableColumn id="3" name="SWE-Agent" dataDxfId="67" dataCellStyle="Percent">
      <calculatedColumnFormula>COUNTIF([1]!Table2[Correct3],"&gt;0")/50</calculatedColumnFormula>
    </tableColumn>
    <tableColumn id="4" name="AutoCodeRover" dataDxfId="66" dataCellStyle="Percent">
      <calculatedColumnFormula>COUNTIF([1]!Table2[Correct5],"&gt;0")/50</calculatedColumnFormula>
    </tableColumn>
    <tableColumn id="5" name="Agentless2" dataDxfId="65" dataCellStyle="Percent">
      <calculatedColumnFormula>COUNTIF([1]!Table2[Correct2],"&gt;0")/50</calculatedColumnFormula>
    </tableColumn>
    <tableColumn id="6" name="SWE-Agent3" dataDxfId="64" dataCellStyle="Percent">
      <calculatedColumnFormula>COUNTIF([1]!Table2[Correct4],"&gt;0")/50</calculatedColumnFormula>
    </tableColumn>
    <tableColumn id="7" name="AutoCodeRover4" dataDxfId="63" dataCellStyle="Percent">
      <calculatedColumnFormula>COUNTIF([1]!Table2[Correct6],"&gt;0")/50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2" name="Table2" displayName="Table2" ref="A2:AF52" totalsRowShown="0" headerRowDxfId="62" dataDxfId="61">
  <autoFilter ref="A2:AF52"/>
  <sortState ref="A3:AE52">
    <sortCondition ref="B2:B52"/>
  </sortState>
  <tableColumns count="32">
    <tableColumn id="1" name="No." dataDxfId="60"/>
    <tableColumn id="31" name="Agent" dataDxfId="59"/>
    <tableColumn id="2" name="Issue" dataDxfId="58"/>
    <tableColumn id="3" name="Taxonomy" dataDxfId="57"/>
    <tableColumn id="4" name="Sub-Category" dataDxfId="56"/>
    <tableColumn id="5" name="Status" dataDxfId="55"/>
    <tableColumn id="6" name="Reference" dataDxfId="54"/>
    <tableColumn id="7" name="Plausible" dataDxfId="53"/>
    <tableColumn id="8" name="Correct" dataDxfId="52"/>
    <tableColumn id="9" name="File-level" dataDxfId="51"/>
    <tableColumn id="10" name="Function-level" dataDxfId="50"/>
    <tableColumn id="11" name="Plausible2" dataDxfId="49"/>
    <tableColumn id="12" name="Correct2" dataDxfId="48"/>
    <tableColumn id="13" name="File-level2" dataDxfId="47"/>
    <tableColumn id="14" name="Function-level2" dataDxfId="46"/>
    <tableColumn id="15" name="Plausible3" dataDxfId="45"/>
    <tableColumn id="16" name="Correct3" dataDxfId="44"/>
    <tableColumn id="17" name="File-level3" dataDxfId="43"/>
    <tableColumn id="18" name="Function-level3" dataDxfId="42"/>
    <tableColumn id="19" name="Plausible4" dataDxfId="41"/>
    <tableColumn id="20" name="Correct4" dataDxfId="40"/>
    <tableColumn id="21" name="File-level4" dataDxfId="39"/>
    <tableColumn id="22" name="Function-level4" dataDxfId="38"/>
    <tableColumn id="23" name="Plausible5" dataDxfId="37"/>
    <tableColumn id="24" name="Correct5" dataDxfId="36"/>
    <tableColumn id="25" name="File-level5" dataDxfId="35"/>
    <tableColumn id="26" name="Function-level5" dataDxfId="34"/>
    <tableColumn id="27" name="Plausible6" dataDxfId="33"/>
    <tableColumn id="28" name="Correct6" dataDxfId="32"/>
    <tableColumn id="29" name="File-level6" dataDxfId="31"/>
    <tableColumn id="30" name="Function-level6" dataDxfId="30"/>
    <tableColumn id="32" name="Function-level7" dataDxfId="0"/>
  </tableColumns>
  <tableStyleInfo name="TableStyleMedium2" showFirstColumn="0" showLastColumn="0" showRowStripes="1" showColumnStripes="0"/>
</table>
</file>

<file path=xl/tables/table6.xml><?xml version="1.0" encoding="utf-8"?>
<table xmlns="http://schemas.openxmlformats.org/spreadsheetml/2006/main" id="10" name="Table10" displayName="Table10" ref="A2:AD22" totalsRowShown="0">
  <autoFilter ref="A2:AD22"/>
  <tableColumns count="30">
    <tableColumn id="1" name="No."/>
    <tableColumn id="2" name="Agent" dataDxfId="29"/>
    <tableColumn id="3" name="Issue" dataDxfId="28"/>
    <tableColumn id="4" name="Taxonomy" dataDxfId="27"/>
    <tableColumn id="5" name="Sub-Category" dataDxfId="26"/>
    <tableColumn id="6" name="Reference" dataDxfId="25"/>
    <tableColumn id="7" name="Plausible" dataDxfId="24"/>
    <tableColumn id="8" name="Correct" dataDxfId="23"/>
    <tableColumn id="9" name="File-level" dataDxfId="22"/>
    <tableColumn id="10" name="Function-level" dataDxfId="21"/>
    <tableColumn id="11" name="Plausible2" dataDxfId="20"/>
    <tableColumn id="12" name="Correct2" dataDxfId="19"/>
    <tableColumn id="13" name="File-level2" dataDxfId="18"/>
    <tableColumn id="14" name="Function-level2" dataDxfId="17"/>
    <tableColumn id="15" name="Plausible3" dataDxfId="16"/>
    <tableColumn id="16" name="Correct3" dataDxfId="15"/>
    <tableColumn id="17" name="File-level3" dataDxfId="14"/>
    <tableColumn id="18" name="Function-level3" dataDxfId="13"/>
    <tableColumn id="19" name="Plausible4" dataDxfId="12"/>
    <tableColumn id="20" name="Correct4" dataDxfId="11"/>
    <tableColumn id="21" name="File-level4" dataDxfId="10"/>
    <tableColumn id="22" name="Function-level4" dataDxfId="9"/>
    <tableColumn id="23" name="Plausible5" dataDxfId="8"/>
    <tableColumn id="24" name="Correct5" dataDxfId="7"/>
    <tableColumn id="25" name="File-level5" dataDxfId="6"/>
    <tableColumn id="26" name="Function-level5" dataDxfId="5"/>
    <tableColumn id="27" name="Plausible6" dataDxfId="4"/>
    <tableColumn id="28" name="Correct6" dataDxfId="3"/>
    <tableColumn id="29" name="File-level6" dataDxfId="2"/>
    <tableColumn id="30" name="Function-level6"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ass@k%20Metrics" TargetMode="External"/><Relationship Id="rId7" Type="http://schemas.openxmlformats.org/officeDocument/2006/relationships/table" Target="../tables/table4.xml"/><Relationship Id="rId2" Type="http://schemas.openxmlformats.org/officeDocument/2006/relationships/hyperlink" Target="mailto:Pass@3" TargetMode="External"/><Relationship Id="rId1" Type="http://schemas.openxmlformats.org/officeDocument/2006/relationships/hyperlink" Target="mailto:Pass@1" TargetMode="Externa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hyperlink" Target="mailto:Pass@k"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github.com/crewAIInc/crewAI/issues/1370" TargetMode="External"/><Relationship Id="rId18" Type="http://schemas.openxmlformats.org/officeDocument/2006/relationships/hyperlink" Target="https://github.com/crewAIInc/crewAI/issues/1934" TargetMode="External"/><Relationship Id="rId26" Type="http://schemas.openxmlformats.org/officeDocument/2006/relationships/hyperlink" Target="https://github.com/InternLM/lagent/issues/239" TargetMode="External"/><Relationship Id="rId39" Type="http://schemas.openxmlformats.org/officeDocument/2006/relationships/hyperlink" Target="https://github.com/camel-ai/camel/issues/1614" TargetMode="External"/><Relationship Id="rId21" Type="http://schemas.openxmlformats.org/officeDocument/2006/relationships/hyperlink" Target="https://github.com/Josh-XT/AGiXT/issues/1256" TargetMode="External"/><Relationship Id="rId34" Type="http://schemas.openxmlformats.org/officeDocument/2006/relationships/hyperlink" Target="https://github.com/OpenBMB/ChatDev/issues/465" TargetMode="External"/><Relationship Id="rId42" Type="http://schemas.openxmlformats.org/officeDocument/2006/relationships/hyperlink" Target="https://github.com/microsoft/autogen/issues/4785" TargetMode="External"/><Relationship Id="rId47" Type="http://schemas.openxmlformats.org/officeDocument/2006/relationships/hyperlink" Target="https://github.com/microsoft/autogen/issues/1844" TargetMode="External"/><Relationship Id="rId50" Type="http://schemas.openxmlformats.org/officeDocument/2006/relationships/table" Target="../tables/table5.xml"/><Relationship Id="rId7" Type="http://schemas.openxmlformats.org/officeDocument/2006/relationships/hyperlink" Target="https://github.com/crewAIInc/crewAI/issues/1270" TargetMode="External"/><Relationship Id="rId2" Type="http://schemas.openxmlformats.org/officeDocument/2006/relationships/hyperlink" Target="https://github.com/vercel/ai/issues/5628" TargetMode="External"/><Relationship Id="rId16" Type="http://schemas.openxmlformats.org/officeDocument/2006/relationships/hyperlink" Target="https://github.com/crewAIInc/crewAI/issues/1753" TargetMode="External"/><Relationship Id="rId29" Type="http://schemas.openxmlformats.org/officeDocument/2006/relationships/hyperlink" Target="https://github.com/agentcoinorg/evo.ninja/issues/594" TargetMode="External"/><Relationship Id="rId11" Type="http://schemas.openxmlformats.org/officeDocument/2006/relationships/hyperlink" Target="https://github.com/AntonOsika/gpt-engineer/issues/1197" TargetMode="External"/><Relationship Id="rId24" Type="http://schemas.openxmlformats.org/officeDocument/2006/relationships/hyperlink" Target="https://github.com/superagent-ai/superagent/issues/953" TargetMode="External"/><Relationship Id="rId32" Type="http://schemas.openxmlformats.org/officeDocument/2006/relationships/hyperlink" Target="https://github.com/agentcoinorg/evo.ninja/issues/504" TargetMode="External"/><Relationship Id="rId37" Type="http://schemas.openxmlformats.org/officeDocument/2006/relationships/hyperlink" Target="https://github.com/camel-ai/camel/issues/1145" TargetMode="External"/><Relationship Id="rId40" Type="http://schemas.openxmlformats.org/officeDocument/2006/relationships/hyperlink" Target="https://github.com/microsoft/autogen/issues/5124" TargetMode="External"/><Relationship Id="rId45" Type="http://schemas.openxmlformats.org/officeDocument/2006/relationships/hyperlink" Target="https://github.com/microsoft/autogen/issues/4197" TargetMode="External"/><Relationship Id="rId5" Type="http://schemas.openxmlformats.org/officeDocument/2006/relationships/hyperlink" Target="https://github.com/deepset-ai/haystack/issues/8912" TargetMode="External"/><Relationship Id="rId15" Type="http://schemas.openxmlformats.org/officeDocument/2006/relationships/hyperlink" Target="https://github.com/crewAIInc/crewAI/issues/1723" TargetMode="External"/><Relationship Id="rId23" Type="http://schemas.openxmlformats.org/officeDocument/2006/relationships/hyperlink" Target="https://github.com/assafelovic/gpt-researcher/issues/1027" TargetMode="External"/><Relationship Id="rId28" Type="http://schemas.openxmlformats.org/officeDocument/2006/relationships/hyperlink" Target="https://github.com/agentcoinorg/evo.ninja/issues/652" TargetMode="External"/><Relationship Id="rId36" Type="http://schemas.openxmlformats.org/officeDocument/2006/relationships/hyperlink" Target="https://github.com/OpenBMB/ChatDev/issues/413" TargetMode="External"/><Relationship Id="rId49" Type="http://schemas.openxmlformats.org/officeDocument/2006/relationships/hyperlink" Target="https://github.com/princeton-nlp/SWE-agent/issues/741" TargetMode="External"/><Relationship Id="rId10" Type="http://schemas.openxmlformats.org/officeDocument/2006/relationships/hyperlink" Target="https://github.com/Josh-XT/AGiXT/issues/1371" TargetMode="External"/><Relationship Id="rId19" Type="http://schemas.openxmlformats.org/officeDocument/2006/relationships/hyperlink" Target="https://github.com/Josh-XT/AGiXT/issues/1253" TargetMode="External"/><Relationship Id="rId31" Type="http://schemas.openxmlformats.org/officeDocument/2006/relationships/hyperlink" Target="https://github.com/agentcoinorg/evo.ninja/issues/515" TargetMode="External"/><Relationship Id="rId44" Type="http://schemas.openxmlformats.org/officeDocument/2006/relationships/hyperlink" Target="https://github.com/microsoft/autogen/issues/4382" TargetMode="External"/><Relationship Id="rId4" Type="http://schemas.openxmlformats.org/officeDocument/2006/relationships/hyperlink" Target="https://github.com/deepset-ai/haystack/issues/9523" TargetMode="External"/><Relationship Id="rId9" Type="http://schemas.openxmlformats.org/officeDocument/2006/relationships/hyperlink" Target="https://github.com/Josh-XT/AGiXT/issues/1369" TargetMode="External"/><Relationship Id="rId14" Type="http://schemas.openxmlformats.org/officeDocument/2006/relationships/hyperlink" Target="https://github.com/crewAIInc/crewAI/issues/1323" TargetMode="External"/><Relationship Id="rId22" Type="http://schemas.openxmlformats.org/officeDocument/2006/relationships/hyperlink" Target="https://github.com/Pythagora-io/pythagora/issues/55" TargetMode="External"/><Relationship Id="rId27" Type="http://schemas.openxmlformats.org/officeDocument/2006/relationships/hyperlink" Target="https://github.com/InternLM/lagent/issues/244" TargetMode="External"/><Relationship Id="rId30" Type="http://schemas.openxmlformats.org/officeDocument/2006/relationships/hyperlink" Target="https://github.com/agentcoinorg/evo.ninja/issues/525" TargetMode="External"/><Relationship Id="rId35" Type="http://schemas.openxmlformats.org/officeDocument/2006/relationships/hyperlink" Target="https://github.com/OpenBMB/ChatDev/issues/318" TargetMode="External"/><Relationship Id="rId43" Type="http://schemas.openxmlformats.org/officeDocument/2006/relationships/hyperlink" Target="https://github.com/microsoft/autogen/issues/4733" TargetMode="External"/><Relationship Id="rId48" Type="http://schemas.openxmlformats.org/officeDocument/2006/relationships/hyperlink" Target="https://github.com/microsoft/autogen/issues/1174" TargetMode="External"/><Relationship Id="rId8" Type="http://schemas.openxmlformats.org/officeDocument/2006/relationships/hyperlink" Target="https://github.com/Josh-XT/AGiXT/issues/1026" TargetMode="External"/><Relationship Id="rId3" Type="http://schemas.openxmlformats.org/officeDocument/2006/relationships/hyperlink" Target="https://github.com/vercel/ai/issues/4411" TargetMode="External"/><Relationship Id="rId12" Type="http://schemas.openxmlformats.org/officeDocument/2006/relationships/hyperlink" Target="https://github.com/crewAIInc/crewAI/issues/1463" TargetMode="External"/><Relationship Id="rId17" Type="http://schemas.openxmlformats.org/officeDocument/2006/relationships/hyperlink" Target="https://github.com/crewAIInc/crewAI/issues/1824" TargetMode="External"/><Relationship Id="rId25" Type="http://schemas.openxmlformats.org/officeDocument/2006/relationships/hyperlink" Target="https://github.com/InternLM/lagent/issues/279" TargetMode="External"/><Relationship Id="rId33" Type="http://schemas.openxmlformats.org/officeDocument/2006/relationships/hyperlink" Target="https://github.com/geekan/MetaGPT/issues/1313" TargetMode="External"/><Relationship Id="rId38" Type="http://schemas.openxmlformats.org/officeDocument/2006/relationships/hyperlink" Target="https://github.com/camel-ai/camel/issues/1273" TargetMode="External"/><Relationship Id="rId46" Type="http://schemas.openxmlformats.org/officeDocument/2006/relationships/hyperlink" Target="https://github.com/microsoft/autogen/issues/3361" TargetMode="External"/><Relationship Id="rId20" Type="http://schemas.openxmlformats.org/officeDocument/2006/relationships/hyperlink" Target="https://github.com/Josh-XT/AGiXT/issues/1030" TargetMode="External"/><Relationship Id="rId41" Type="http://schemas.openxmlformats.org/officeDocument/2006/relationships/hyperlink" Target="https://github.com/microsoft/autogen/issues/5007" TargetMode="External"/><Relationship Id="rId1" Type="http://schemas.openxmlformats.org/officeDocument/2006/relationships/hyperlink" Target="https://github.com/camel-ai/camel/issues/88" TargetMode="External"/><Relationship Id="rId6" Type="http://schemas.openxmlformats.org/officeDocument/2006/relationships/hyperlink" Target="https://github.com/crewAIInc/crewAI/issues/1532"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17" Type="http://schemas.openxmlformats.org/officeDocument/2006/relationships/hyperlink" Target="https://github.com/assafelovic/gpt-researcher/issues/910" TargetMode="External"/><Relationship Id="rId21" Type="http://schemas.openxmlformats.org/officeDocument/2006/relationships/hyperlink" Target="https://github.com/crewAIInc/crewAI/issues/222" TargetMode="External"/><Relationship Id="rId63" Type="http://schemas.openxmlformats.org/officeDocument/2006/relationships/hyperlink" Target="http://chain.py/" TargetMode="External"/><Relationship Id="rId159" Type="http://schemas.openxmlformats.org/officeDocument/2006/relationships/hyperlink" Target="https://github.com/princeton-nlp/SWE-agent/issues/728" TargetMode="External"/><Relationship Id="rId170" Type="http://schemas.openxmlformats.org/officeDocument/2006/relationships/hyperlink" Target="https://github.com/OpenBMB/ChatDev/issues/413" TargetMode="External"/><Relationship Id="rId226" Type="http://schemas.openxmlformats.org/officeDocument/2006/relationships/hyperlink" Target="https://github.com/raga-ai-hub/RagaAI-Catalyst/pull/136" TargetMode="External"/><Relationship Id="rId268" Type="http://schemas.openxmlformats.org/officeDocument/2006/relationships/hyperlink" Target="https://github.com/deepset-ai/haystack/issues/8912" TargetMode="External"/><Relationship Id="rId11" Type="http://schemas.openxmlformats.org/officeDocument/2006/relationships/hyperlink" Target="https://github.com/crewAIInc/crewAI/issues/1463" TargetMode="External"/><Relationship Id="rId32" Type="http://schemas.openxmlformats.org/officeDocument/2006/relationships/hyperlink" Target="https://github.com/crewAIInc/crewAI/issues/1934" TargetMode="External"/><Relationship Id="rId53" Type="http://schemas.openxmlformats.org/officeDocument/2006/relationships/hyperlink" Target="https://github.com/crewAIInc/crewAI/pull/2243" TargetMode="External"/><Relationship Id="rId74" Type="http://schemas.openxmlformats.org/officeDocument/2006/relationships/hyperlink" Target="https://github.com/agentcoinorg/evo.ninja/pull/654" TargetMode="External"/><Relationship Id="rId128" Type="http://schemas.openxmlformats.org/officeDocument/2006/relationships/hyperlink" Target="https://github.com/superagent-ai/superagent/pull/958" TargetMode="External"/><Relationship Id="rId149" Type="http://schemas.openxmlformats.org/officeDocument/2006/relationships/hyperlink" Target="https://github.com/InternLM/lagent/issues/244" TargetMode="External"/><Relationship Id="rId5" Type="http://schemas.openxmlformats.org/officeDocument/2006/relationships/hyperlink" Target="https://github.com/crewAIInc/crewAI/issues/1532" TargetMode="External"/><Relationship Id="rId95" Type="http://schemas.openxmlformats.org/officeDocument/2006/relationships/hyperlink" Target="https://github.com/assafelovic/gpt-researcher/issues/1008" TargetMode="External"/><Relationship Id="rId160" Type="http://schemas.openxmlformats.org/officeDocument/2006/relationships/hyperlink" Target="https://github.com/princeton-nlp/SWE-agent/pull/682" TargetMode="External"/><Relationship Id="rId181" Type="http://schemas.openxmlformats.org/officeDocument/2006/relationships/hyperlink" Target="https://github.com/camel-ai/camel/pull/1046" TargetMode="External"/><Relationship Id="rId216" Type="http://schemas.openxmlformats.org/officeDocument/2006/relationships/hyperlink" Target="https://github.com/geekan/MetaGPT/issues/1086" TargetMode="External"/><Relationship Id="rId237" Type="http://schemas.openxmlformats.org/officeDocument/2006/relationships/hyperlink" Target="https://github.com/awslabs/multi-agent-orchestrator/issues/80" TargetMode="External"/><Relationship Id="rId258" Type="http://schemas.openxmlformats.org/officeDocument/2006/relationships/hyperlink" Target="https://github.com/microsoft/autogen/issues/1844" TargetMode="External"/><Relationship Id="rId22" Type="http://schemas.openxmlformats.org/officeDocument/2006/relationships/hyperlink" Target="https://github.com/crewAIInc/crewAI/issues/583" TargetMode="External"/><Relationship Id="rId43" Type="http://schemas.openxmlformats.org/officeDocument/2006/relationships/hyperlink" Target="https://github.com/crewAIInc/crewAI/pull/2039" TargetMode="External"/><Relationship Id="rId64" Type="http://schemas.openxmlformats.org/officeDocument/2006/relationships/hyperlink" Target="https://github.com/Josh-XT/AGiXT/pull/1284" TargetMode="External"/><Relationship Id="rId118" Type="http://schemas.openxmlformats.org/officeDocument/2006/relationships/hyperlink" Target="https://github.com/assafelovic/gpt-researcher/pull/960" TargetMode="External"/><Relationship Id="rId139" Type="http://schemas.openxmlformats.org/officeDocument/2006/relationships/hyperlink" Target="https://github.com/superagent-ai/superagent/issues/843" TargetMode="External"/><Relationship Id="rId85" Type="http://schemas.openxmlformats.org/officeDocument/2006/relationships/hyperlink" Target="https://github.com/agentcoinorg/evo.ninja/issues/261" TargetMode="External"/><Relationship Id="rId150" Type="http://schemas.openxmlformats.org/officeDocument/2006/relationships/hyperlink" Target="https://github.com/InternLM/lagent/pull/274" TargetMode="External"/><Relationship Id="rId171" Type="http://schemas.openxmlformats.org/officeDocument/2006/relationships/hyperlink" Target="https://github.com/OpenBMB/ChatDev/commit/ec536d54b77aac7bcef85158833675ed9aa02b3e" TargetMode="External"/><Relationship Id="rId192" Type="http://schemas.openxmlformats.org/officeDocument/2006/relationships/hyperlink" Target="https://github.com/camel-ai/camel/issues/1356" TargetMode="External"/><Relationship Id="rId206" Type="http://schemas.openxmlformats.org/officeDocument/2006/relationships/hyperlink" Target="https://github.com/camel-ai/camel/issues/496" TargetMode="External"/><Relationship Id="rId227" Type="http://schemas.openxmlformats.org/officeDocument/2006/relationships/hyperlink" Target="https://github.com/raga-ai-hub/RagaAI-Catalyst/issues/135" TargetMode="External"/><Relationship Id="rId248" Type="http://schemas.openxmlformats.org/officeDocument/2006/relationships/hyperlink" Target="https://github.com/microsoft/autogen/issues/4733" TargetMode="External"/><Relationship Id="rId269" Type="http://schemas.openxmlformats.org/officeDocument/2006/relationships/hyperlink" Target="https://github.com/vercel/ai/issues/5628" TargetMode="External"/><Relationship Id="rId12" Type="http://schemas.openxmlformats.org/officeDocument/2006/relationships/hyperlink" Target="https://github.com/crewAIInc/crewAI/issues/1437" TargetMode="External"/><Relationship Id="rId33" Type="http://schemas.openxmlformats.org/officeDocument/2006/relationships/hyperlink" Target="https://github.com/crewAIInc/crewAI/pull/2112" TargetMode="External"/><Relationship Id="rId108" Type="http://schemas.openxmlformats.org/officeDocument/2006/relationships/hyperlink" Target="https://github.com/assafelovic/gpt-researcher/pull/1101" TargetMode="External"/><Relationship Id="rId129" Type="http://schemas.openxmlformats.org/officeDocument/2006/relationships/hyperlink" Target="https://github.com/superagent-ai/superagent/issues/953" TargetMode="External"/><Relationship Id="rId54" Type="http://schemas.openxmlformats.org/officeDocument/2006/relationships/hyperlink" Target="https://github.com/crewAIInc/crewAI/issues/2237" TargetMode="External"/><Relationship Id="rId75" Type="http://schemas.openxmlformats.org/officeDocument/2006/relationships/hyperlink" Target="https://github.com/agentcoinorg/evo.ninja/issues/652" TargetMode="External"/><Relationship Id="rId96" Type="http://schemas.openxmlformats.org/officeDocument/2006/relationships/hyperlink" Target="https://github.com/assafelovic/gpt-researcher/pull/1195" TargetMode="External"/><Relationship Id="rId140" Type="http://schemas.openxmlformats.org/officeDocument/2006/relationships/hyperlink" Target="https://github.com/AntonOsika/gpt-engineer/pull/1198" TargetMode="External"/><Relationship Id="rId161" Type="http://schemas.openxmlformats.org/officeDocument/2006/relationships/hyperlink" Target="https://github.com/princeton-nlp/SWE-agent/issues/449" TargetMode="External"/><Relationship Id="rId182" Type="http://schemas.openxmlformats.org/officeDocument/2006/relationships/hyperlink" Target="https://github.com/camel-ai/camel/issues/339" TargetMode="External"/><Relationship Id="rId217" Type="http://schemas.openxmlformats.org/officeDocument/2006/relationships/hyperlink" Target="https://github.com/yoheinakajima/babyagi/pull/258" TargetMode="External"/><Relationship Id="rId6" Type="http://schemas.openxmlformats.org/officeDocument/2006/relationships/hyperlink" Target="https://github.com/crewAIInc/crewAI/issues/1522" TargetMode="External"/><Relationship Id="rId238" Type="http://schemas.openxmlformats.org/officeDocument/2006/relationships/hyperlink" Target="http://read.md/" TargetMode="External"/><Relationship Id="rId259" Type="http://schemas.openxmlformats.org/officeDocument/2006/relationships/hyperlink" Target="https://github.com/microsoft/autogen/pull/1437" TargetMode="External"/><Relationship Id="rId23" Type="http://schemas.openxmlformats.org/officeDocument/2006/relationships/hyperlink" Target="https://github.com/crewAIInc/crewAI/issues/502" TargetMode="External"/><Relationship Id="rId119" Type="http://schemas.openxmlformats.org/officeDocument/2006/relationships/hyperlink" Target="https://github.com/assafelovic/gpt-researcher/issues/909" TargetMode="External"/><Relationship Id="rId270" Type="http://schemas.openxmlformats.org/officeDocument/2006/relationships/hyperlink" Target="https://github.com/vercel/ai/issues/4411" TargetMode="External"/><Relationship Id="rId44" Type="http://schemas.openxmlformats.org/officeDocument/2006/relationships/hyperlink" Target="https://github.com/crewAIInc/crewAI/issues/2015" TargetMode="External"/><Relationship Id="rId65" Type="http://schemas.openxmlformats.org/officeDocument/2006/relationships/hyperlink" Target="https://github.com/Josh-XT/AGiXT/issues/1283" TargetMode="External"/><Relationship Id="rId86" Type="http://schemas.openxmlformats.org/officeDocument/2006/relationships/hyperlink" Target="https://github.com/agentcoinorg/evo.ninja/pull/517" TargetMode="External"/><Relationship Id="rId130" Type="http://schemas.openxmlformats.org/officeDocument/2006/relationships/hyperlink" Target="https://github.com/superagent-ai/superagent/pull/961" TargetMode="External"/><Relationship Id="rId151" Type="http://schemas.openxmlformats.org/officeDocument/2006/relationships/hyperlink" Target="https://github.com/InternLM/lagent/issues/272" TargetMode="External"/><Relationship Id="rId172" Type="http://schemas.openxmlformats.org/officeDocument/2006/relationships/hyperlink" Target="https://github.com/OpenBMB/ChatDev/issues/318" TargetMode="External"/><Relationship Id="rId193" Type="http://schemas.openxmlformats.org/officeDocument/2006/relationships/hyperlink" Target="https://github.com/camel-ai/camel/pull/1439" TargetMode="External"/><Relationship Id="rId207" Type="http://schemas.openxmlformats.org/officeDocument/2006/relationships/hyperlink" Target="https://github.com/camel-ai/camel/issues/419" TargetMode="External"/><Relationship Id="rId228" Type="http://schemas.openxmlformats.org/officeDocument/2006/relationships/hyperlink" Target="https://github.com/awslabs/multi-agent-orchestrator/pull/199" TargetMode="External"/><Relationship Id="rId249" Type="http://schemas.openxmlformats.org/officeDocument/2006/relationships/hyperlink" Target="https://github.com/microsoft/autogen/pull/4402" TargetMode="External"/><Relationship Id="rId13" Type="http://schemas.openxmlformats.org/officeDocument/2006/relationships/hyperlink" Target="https://github.com/crewAIInc/crewAI/issues/1384" TargetMode="External"/><Relationship Id="rId109" Type="http://schemas.openxmlformats.org/officeDocument/2006/relationships/hyperlink" Target="https://github.com/assafelovic/gpt-researcher/issues/1100" TargetMode="External"/><Relationship Id="rId260" Type="http://schemas.openxmlformats.org/officeDocument/2006/relationships/hyperlink" Target="https://github.com/microsoft/autogen/issues/1436" TargetMode="External"/><Relationship Id="rId34" Type="http://schemas.openxmlformats.org/officeDocument/2006/relationships/hyperlink" Target="https://github.com/crewAIInc/crewAI/issues/2111" TargetMode="External"/><Relationship Id="rId55" Type="http://schemas.openxmlformats.org/officeDocument/2006/relationships/hyperlink" Target="https://github.com/Josh-XT/AGiXT/issues/1253" TargetMode="External"/><Relationship Id="rId76" Type="http://schemas.openxmlformats.org/officeDocument/2006/relationships/hyperlink" Target="https://github.com/agentcoinorg/evo.ninja/pull/641" TargetMode="External"/><Relationship Id="rId97" Type="http://schemas.openxmlformats.org/officeDocument/2006/relationships/hyperlink" Target="https://github.com/assafelovic/gpt-researcher/issues/1196" TargetMode="External"/><Relationship Id="rId120" Type="http://schemas.openxmlformats.org/officeDocument/2006/relationships/hyperlink" Target="https://github.com/assafelovic/gpt-researcher/pull/902" TargetMode="External"/><Relationship Id="rId141" Type="http://schemas.openxmlformats.org/officeDocument/2006/relationships/hyperlink" Target="https://github.com/AntonOsika/gpt-engineer/issues/1197" TargetMode="External"/><Relationship Id="rId7" Type="http://schemas.openxmlformats.org/officeDocument/2006/relationships/hyperlink" Target="https://github.com/crewAIInc/crewAI/issues/1521" TargetMode="External"/><Relationship Id="rId162" Type="http://schemas.openxmlformats.org/officeDocument/2006/relationships/hyperlink" Target="https://github.com/princeton-nlp/SWE-agent/issues/333" TargetMode="External"/><Relationship Id="rId183" Type="http://schemas.openxmlformats.org/officeDocument/2006/relationships/hyperlink" Target="https://github.com/camel-ai/camel/issues/165" TargetMode="External"/><Relationship Id="rId218" Type="http://schemas.openxmlformats.org/officeDocument/2006/relationships/hyperlink" Target="https://github.com/yoheinakajima/babyagi/issues/273" TargetMode="External"/><Relationship Id="rId239" Type="http://schemas.openxmlformats.org/officeDocument/2006/relationships/hyperlink" Target="https://github.com/microsoft/autogen/pull/5013" TargetMode="External"/><Relationship Id="rId250" Type="http://schemas.openxmlformats.org/officeDocument/2006/relationships/hyperlink" Target="https://github.com/microsoft/autogen/issues/4382" TargetMode="External"/><Relationship Id="rId24" Type="http://schemas.openxmlformats.org/officeDocument/2006/relationships/hyperlink" Target="https://github.com/crewAIInc/crewAI/pull/1724" TargetMode="External"/><Relationship Id="rId45" Type="http://schemas.openxmlformats.org/officeDocument/2006/relationships/hyperlink" Target="https://github.com/crewAIInc/crewAI/pull/2182" TargetMode="External"/><Relationship Id="rId66" Type="http://schemas.openxmlformats.org/officeDocument/2006/relationships/hyperlink" Target="https://github.com/Josh-XT/AGiXT/commit/e04a69deb986cb41827b57c23d8cc4a9867b8cbc" TargetMode="External"/><Relationship Id="rId87" Type="http://schemas.openxmlformats.org/officeDocument/2006/relationships/hyperlink" Target="https://github.com/agentcoinorg/evo.ninja/issues/462" TargetMode="External"/><Relationship Id="rId110" Type="http://schemas.openxmlformats.org/officeDocument/2006/relationships/hyperlink" Target="https://github.com/assafelovic/gpt-researcher/pull/1032" TargetMode="External"/><Relationship Id="rId131" Type="http://schemas.openxmlformats.org/officeDocument/2006/relationships/hyperlink" Target="https://github.com/superagent-ai/superagent/issues/954" TargetMode="External"/><Relationship Id="rId152" Type="http://schemas.openxmlformats.org/officeDocument/2006/relationships/hyperlink" Target="https://github.com/InternLM/lagent/pull/283" TargetMode="External"/><Relationship Id="rId173" Type="http://schemas.openxmlformats.org/officeDocument/2006/relationships/hyperlink" Target="https://github.com/OpenBMB/ChatDev/pull/419" TargetMode="External"/><Relationship Id="rId194" Type="http://schemas.openxmlformats.org/officeDocument/2006/relationships/hyperlink" Target="https://github.com/camel-ai/camel/issues/1333" TargetMode="External"/><Relationship Id="rId208" Type="http://schemas.openxmlformats.org/officeDocument/2006/relationships/hyperlink" Target="https://github.com/camel-ai/camel/issues/339" TargetMode="External"/><Relationship Id="rId229" Type="http://schemas.openxmlformats.org/officeDocument/2006/relationships/hyperlink" Target="https://github.com/awslabs/multi-agent-orchestrator/issues/187" TargetMode="External"/><Relationship Id="rId240" Type="http://schemas.openxmlformats.org/officeDocument/2006/relationships/hyperlink" Target="https://github.com/microsoft/autogen/issues/5012" TargetMode="External"/><Relationship Id="rId261" Type="http://schemas.openxmlformats.org/officeDocument/2006/relationships/hyperlink" Target="https://github.com/microsoft/autogen/pull/1204" TargetMode="External"/><Relationship Id="rId14" Type="http://schemas.openxmlformats.org/officeDocument/2006/relationships/hyperlink" Target="https://github.com/crewAIInc/crewAI/issues/1370" TargetMode="External"/><Relationship Id="rId35" Type="http://schemas.openxmlformats.org/officeDocument/2006/relationships/hyperlink" Target="https://github.com/crewAIInc/crewAI/pull/2103" TargetMode="External"/><Relationship Id="rId56" Type="http://schemas.openxmlformats.org/officeDocument/2006/relationships/hyperlink" Target="https://github.com/Josh-XT/AGiXT/issues/1182" TargetMode="External"/><Relationship Id="rId77" Type="http://schemas.openxmlformats.org/officeDocument/2006/relationships/hyperlink" Target="https://github.com/agentcoinorg/evo.ninja/issues/594" TargetMode="External"/><Relationship Id="rId100" Type="http://schemas.openxmlformats.org/officeDocument/2006/relationships/hyperlink" Target="https://github.com/assafelovic/gpt-researcher/issues/1111" TargetMode="External"/><Relationship Id="rId8" Type="http://schemas.openxmlformats.org/officeDocument/2006/relationships/hyperlink" Target="https://github.com/crewAIInc/crewAI/issues/1515" TargetMode="External"/><Relationship Id="rId98" Type="http://schemas.openxmlformats.org/officeDocument/2006/relationships/hyperlink" Target="http://tavily_search.py/" TargetMode="External"/><Relationship Id="rId121" Type="http://schemas.openxmlformats.org/officeDocument/2006/relationships/hyperlink" Target="https://github.com/assafelovic/gpt-researcher/issues/901" TargetMode="External"/><Relationship Id="rId142" Type="http://schemas.openxmlformats.org/officeDocument/2006/relationships/hyperlink" Target="https://github.com/InternLM/lagent/pull/280" TargetMode="External"/><Relationship Id="rId163" Type="http://schemas.openxmlformats.org/officeDocument/2006/relationships/hyperlink" Target="https://github.com/princeton-nlp/SWE-agent/issues/697" TargetMode="External"/><Relationship Id="rId184" Type="http://schemas.openxmlformats.org/officeDocument/2006/relationships/hyperlink" Target="https://github.com/camel-ai/camel/issues/1145" TargetMode="External"/><Relationship Id="rId219" Type="http://schemas.openxmlformats.org/officeDocument/2006/relationships/hyperlink" Target="https://github.com/yoheinakajima/babyagi/issues/354" TargetMode="External"/><Relationship Id="rId230" Type="http://schemas.openxmlformats.org/officeDocument/2006/relationships/hyperlink" Target="https://github.com/awslabs/multi-agent-orchestrator/pull/159" TargetMode="External"/><Relationship Id="rId251" Type="http://schemas.openxmlformats.org/officeDocument/2006/relationships/hyperlink" Target="https://github.com/microsoft/autogen/pull/4246" TargetMode="External"/><Relationship Id="rId25" Type="http://schemas.openxmlformats.org/officeDocument/2006/relationships/hyperlink" Target="https://github.com/crewAIInc/crewAI/issues/1753" TargetMode="External"/><Relationship Id="rId46" Type="http://schemas.openxmlformats.org/officeDocument/2006/relationships/hyperlink" Target="https://github.com/crewAIInc/crewAI/issues/2123" TargetMode="External"/><Relationship Id="rId67" Type="http://schemas.openxmlformats.org/officeDocument/2006/relationships/hyperlink" Target="https://github.com/Josh-XT/AGiXT/issues/1256" TargetMode="External"/><Relationship Id="rId88" Type="http://schemas.openxmlformats.org/officeDocument/2006/relationships/hyperlink" Target="https://github.com/agentcoinorg/evo.ninja/pull/640" TargetMode="External"/><Relationship Id="rId111" Type="http://schemas.openxmlformats.org/officeDocument/2006/relationships/hyperlink" Target="https://github.com/assafelovic/gpt-researcher/issues/1022" TargetMode="External"/><Relationship Id="rId132" Type="http://schemas.openxmlformats.org/officeDocument/2006/relationships/hyperlink" Target="https://github.com/superagent-ai/superagent/pull/941" TargetMode="External"/><Relationship Id="rId153" Type="http://schemas.openxmlformats.org/officeDocument/2006/relationships/hyperlink" Target="https://github.com/InternLM/lagent/issues/260" TargetMode="External"/><Relationship Id="rId174" Type="http://schemas.openxmlformats.org/officeDocument/2006/relationships/hyperlink" Target="https://github.com/OpenBMB/ChatDev/issues/413" TargetMode="External"/><Relationship Id="rId195" Type="http://schemas.openxmlformats.org/officeDocument/2006/relationships/hyperlink" Target="https://github.com/camel-ai/camel/pull/1277" TargetMode="External"/><Relationship Id="rId209" Type="http://schemas.openxmlformats.org/officeDocument/2006/relationships/hyperlink" Target="https://github.com/camel-ai/camel/pull/90" TargetMode="External"/><Relationship Id="rId220" Type="http://schemas.openxmlformats.org/officeDocument/2006/relationships/hyperlink" Target="https://github.com/yoheinakajima/babyagi/pull/309" TargetMode="External"/><Relationship Id="rId241" Type="http://schemas.openxmlformats.org/officeDocument/2006/relationships/hyperlink" Target="https://github.com/microsoft/autogen/pull/5008" TargetMode="External"/><Relationship Id="rId15" Type="http://schemas.openxmlformats.org/officeDocument/2006/relationships/hyperlink" Target="https://github.com/crewAIInc/crewAI/issues/1359" TargetMode="External"/><Relationship Id="rId36" Type="http://schemas.openxmlformats.org/officeDocument/2006/relationships/hyperlink" Target="https://github.com/crewAIInc/crewAI/issues/2102" TargetMode="External"/><Relationship Id="rId57" Type="http://schemas.openxmlformats.org/officeDocument/2006/relationships/hyperlink" Target="https://github.com/Josh-XT/AGiXT/issues/1030" TargetMode="External"/><Relationship Id="rId262" Type="http://schemas.openxmlformats.org/officeDocument/2006/relationships/hyperlink" Target="https://github.com/microsoft/autogen/issues/1174" TargetMode="External"/><Relationship Id="rId78" Type="http://schemas.openxmlformats.org/officeDocument/2006/relationships/hyperlink" Target="https://github.com/agentcoinorg/evo.ninja/pull/640" TargetMode="External"/><Relationship Id="rId99" Type="http://schemas.openxmlformats.org/officeDocument/2006/relationships/hyperlink" Target="https://github.com/cnukaus/gpt-researcher/pull/1" TargetMode="External"/><Relationship Id="rId101" Type="http://schemas.openxmlformats.org/officeDocument/2006/relationships/hyperlink" Target="http://llms.md/" TargetMode="External"/><Relationship Id="rId122" Type="http://schemas.openxmlformats.org/officeDocument/2006/relationships/hyperlink" Target="https://github.com/assafelovic/gpt-researcher/pull/902" TargetMode="External"/><Relationship Id="rId143" Type="http://schemas.openxmlformats.org/officeDocument/2006/relationships/hyperlink" Target="https://github.com/InternLM/lagent/issues/279" TargetMode="External"/><Relationship Id="rId164" Type="http://schemas.openxmlformats.org/officeDocument/2006/relationships/hyperlink" Target="https://github.com/princeton-nlp/SWE-agent/pull/497" TargetMode="External"/><Relationship Id="rId185" Type="http://schemas.openxmlformats.org/officeDocument/2006/relationships/hyperlink" Target="https://github.com/camel-ai/camel/pull/1429" TargetMode="External"/><Relationship Id="rId9" Type="http://schemas.openxmlformats.org/officeDocument/2006/relationships/hyperlink" Target="https://github.com/crewAIInc/crewAI/issues/1495" TargetMode="External"/><Relationship Id="rId210" Type="http://schemas.openxmlformats.org/officeDocument/2006/relationships/hyperlink" Target="https://github.com/camel-ai/camel/issues/88" TargetMode="External"/><Relationship Id="rId26" Type="http://schemas.openxmlformats.org/officeDocument/2006/relationships/hyperlink" Target="https://github.com/crewAIInc/crewAI/issues/1823" TargetMode="External"/><Relationship Id="rId231" Type="http://schemas.openxmlformats.org/officeDocument/2006/relationships/hyperlink" Target="https://github.com/awslabs/multi-agent-orchestrator/issues/158" TargetMode="External"/><Relationship Id="rId252" Type="http://schemas.openxmlformats.org/officeDocument/2006/relationships/hyperlink" Target="https://github.com/microsoft/autogen/issues/4245" TargetMode="External"/><Relationship Id="rId47" Type="http://schemas.openxmlformats.org/officeDocument/2006/relationships/hyperlink" Target="https://github.com/crewAIInc/crewAI/pull/2232" TargetMode="External"/><Relationship Id="rId68" Type="http://schemas.openxmlformats.org/officeDocument/2006/relationships/hyperlink" Target="https://github.com/Josh-XT/AGiXT/pull/1377" TargetMode="External"/><Relationship Id="rId89" Type="http://schemas.openxmlformats.org/officeDocument/2006/relationships/hyperlink" Target="https://github.com/agentcoinorg/evo.ninja/issues/261" TargetMode="External"/><Relationship Id="rId112" Type="http://schemas.openxmlformats.org/officeDocument/2006/relationships/hyperlink" Target="https://github.com/assafelovic/gpt-researcher/pull/965" TargetMode="External"/><Relationship Id="rId133" Type="http://schemas.openxmlformats.org/officeDocument/2006/relationships/hyperlink" Target="https://github.com/superagent-ai/superagent/issues/940" TargetMode="External"/><Relationship Id="rId154" Type="http://schemas.openxmlformats.org/officeDocument/2006/relationships/hyperlink" Target="https://github.com/InternLM/lagent/issues/49" TargetMode="External"/><Relationship Id="rId175" Type="http://schemas.openxmlformats.org/officeDocument/2006/relationships/hyperlink" Target="https://github.com/OpenBMB/ChatDev/commit/7fb046020a1f98a0c9925b9e0349b666e7ed77bd" TargetMode="External"/><Relationship Id="rId196" Type="http://schemas.openxmlformats.org/officeDocument/2006/relationships/hyperlink" Target="https://github.com/camel-ai/camel/issues/1273" TargetMode="External"/><Relationship Id="rId200" Type="http://schemas.openxmlformats.org/officeDocument/2006/relationships/hyperlink" Target="https://github.com/camel-ai/camel/pull/1142" TargetMode="External"/><Relationship Id="rId16" Type="http://schemas.openxmlformats.org/officeDocument/2006/relationships/hyperlink" Target="https://github.com/crewAIInc/crewAI/issues/1333" TargetMode="External"/><Relationship Id="rId221" Type="http://schemas.openxmlformats.org/officeDocument/2006/relationships/hyperlink" Target="https://github.com/yoheinakajima/babyagi/issues/308" TargetMode="External"/><Relationship Id="rId242" Type="http://schemas.openxmlformats.org/officeDocument/2006/relationships/hyperlink" Target="https://github.com/microsoft/autogen/issues/5007" TargetMode="External"/><Relationship Id="rId263" Type="http://schemas.openxmlformats.org/officeDocument/2006/relationships/hyperlink" Target="https://github.com/microsoft/autogen/pull/1063" TargetMode="External"/><Relationship Id="rId37" Type="http://schemas.openxmlformats.org/officeDocument/2006/relationships/hyperlink" Target="https://github.com/crewAIInc/crewAI/pull/2072" TargetMode="External"/><Relationship Id="rId58" Type="http://schemas.openxmlformats.org/officeDocument/2006/relationships/hyperlink" Target="https://github.com/Josh-XT/AGiXT/issues/1048" TargetMode="External"/><Relationship Id="rId79" Type="http://schemas.openxmlformats.org/officeDocument/2006/relationships/hyperlink" Target="https://github.com/agentcoinorg/evo.ninja/issues/525" TargetMode="External"/><Relationship Id="rId102" Type="http://schemas.openxmlformats.org/officeDocument/2006/relationships/hyperlink" Target="https://github.com/assafelovic/gpt-researcher/pull/1121" TargetMode="External"/><Relationship Id="rId123" Type="http://schemas.openxmlformats.org/officeDocument/2006/relationships/hyperlink" Target="https://github.com/assafelovic/gpt-researcher/issues/901" TargetMode="External"/><Relationship Id="rId144" Type="http://schemas.openxmlformats.org/officeDocument/2006/relationships/hyperlink" Target="https://github.com/InternLM/lagent/pull/259" TargetMode="External"/><Relationship Id="rId90" Type="http://schemas.openxmlformats.org/officeDocument/2006/relationships/hyperlink" Target="https://github.com/Pythagora-io/pythagora/commit/5a6c6a28ebfdb1f781370c26e616e82edef66501" TargetMode="External"/><Relationship Id="rId165" Type="http://schemas.openxmlformats.org/officeDocument/2006/relationships/hyperlink" Target="https://github.com/princeton-nlp/SWE-agent/issues/362" TargetMode="External"/><Relationship Id="rId186" Type="http://schemas.openxmlformats.org/officeDocument/2006/relationships/hyperlink" Target="https://github.com/camel-ai/camel/issues/1427" TargetMode="External"/><Relationship Id="rId211" Type="http://schemas.openxmlformats.org/officeDocument/2006/relationships/hyperlink" Target="https://github.com/camel-ai/camel/pull/1436" TargetMode="External"/><Relationship Id="rId232" Type="http://schemas.openxmlformats.org/officeDocument/2006/relationships/hyperlink" Target="https://github.com/awslabs/multi-agent-orchestrator/pull/155" TargetMode="External"/><Relationship Id="rId253" Type="http://schemas.openxmlformats.org/officeDocument/2006/relationships/hyperlink" Target="https://github.com/microsoft/autogen/pull/4204" TargetMode="External"/><Relationship Id="rId27" Type="http://schemas.openxmlformats.org/officeDocument/2006/relationships/hyperlink" Target="https://github.com/crewAIInc/crewAI/pull/1752" TargetMode="External"/><Relationship Id="rId48" Type="http://schemas.openxmlformats.org/officeDocument/2006/relationships/hyperlink" Target="https://github.com/crewAIInc/crewAI/issues/2164" TargetMode="External"/><Relationship Id="rId69" Type="http://schemas.openxmlformats.org/officeDocument/2006/relationships/hyperlink" Target="https://github.com/Josh-XT/AGiXT/issues/1369" TargetMode="External"/><Relationship Id="rId113" Type="http://schemas.openxmlformats.org/officeDocument/2006/relationships/hyperlink" Target="https://github.com/assafelovic/gpt-researcher/issues/934" TargetMode="External"/><Relationship Id="rId134" Type="http://schemas.openxmlformats.org/officeDocument/2006/relationships/hyperlink" Target="https://github.com/superagent-ai/superagent/pull/944" TargetMode="External"/><Relationship Id="rId80" Type="http://schemas.openxmlformats.org/officeDocument/2006/relationships/hyperlink" Target="https://github.com/agentcoinorg/evo.ninja/pull/549" TargetMode="External"/><Relationship Id="rId155" Type="http://schemas.openxmlformats.org/officeDocument/2006/relationships/hyperlink" Target="https://github.com/princeton-nlp/SWE-agent/issues/771" TargetMode="External"/><Relationship Id="rId176" Type="http://schemas.openxmlformats.org/officeDocument/2006/relationships/hyperlink" Target="https://github.com/OpenBMB/ChatDev/issues/248" TargetMode="External"/><Relationship Id="rId197" Type="http://schemas.openxmlformats.org/officeDocument/2006/relationships/hyperlink" Target="https://github.com/camel-ai/camel/pull/1142" TargetMode="External"/><Relationship Id="rId201" Type="http://schemas.openxmlformats.org/officeDocument/2006/relationships/hyperlink" Target="https://github.com/camel-ai/camel/issues/977" TargetMode="External"/><Relationship Id="rId222" Type="http://schemas.openxmlformats.org/officeDocument/2006/relationships/hyperlink" Target="https://github.com/yoheinakajima/babyagi/pull/279" TargetMode="External"/><Relationship Id="rId243" Type="http://schemas.openxmlformats.org/officeDocument/2006/relationships/hyperlink" Target="https://github.com/microsoft/autogen/pull/4801" TargetMode="External"/><Relationship Id="rId264" Type="http://schemas.openxmlformats.org/officeDocument/2006/relationships/hyperlink" Target="https://github.com/microsoft/autogen/issues/1058" TargetMode="External"/><Relationship Id="rId17" Type="http://schemas.openxmlformats.org/officeDocument/2006/relationships/hyperlink" Target="https://github.com/crewAIInc/crewAI/pull/1322" TargetMode="External"/><Relationship Id="rId38" Type="http://schemas.openxmlformats.org/officeDocument/2006/relationships/hyperlink" Target="https://github.com/crewAIInc/crewAI/issues/2067" TargetMode="External"/><Relationship Id="rId59" Type="http://schemas.openxmlformats.org/officeDocument/2006/relationships/hyperlink" Target="https://github.com/Josh-XT/AGiXT/issues/1026" TargetMode="External"/><Relationship Id="rId103" Type="http://schemas.openxmlformats.org/officeDocument/2006/relationships/hyperlink" Target="https://github.com/assafelovic/gpt-researcher/issues/1108" TargetMode="External"/><Relationship Id="rId124" Type="http://schemas.openxmlformats.org/officeDocument/2006/relationships/hyperlink" Target="https://github.com/assafelovic/gpt-researcher/pull/895" TargetMode="External"/><Relationship Id="rId70" Type="http://schemas.openxmlformats.org/officeDocument/2006/relationships/hyperlink" Target="https://github.com/Josh-XT/AGiXT/pull/1374" TargetMode="External"/><Relationship Id="rId91" Type="http://schemas.openxmlformats.org/officeDocument/2006/relationships/hyperlink" Target="https://github.com/Pythagora-io/pythagora/issues/55" TargetMode="External"/><Relationship Id="rId145" Type="http://schemas.openxmlformats.org/officeDocument/2006/relationships/hyperlink" Target="https://github.com/InternLM/lagent/issues/243" TargetMode="External"/><Relationship Id="rId166" Type="http://schemas.openxmlformats.org/officeDocument/2006/relationships/hyperlink" Target="https://github.com/SWE-bench/SWE-bench/issues/199" TargetMode="External"/><Relationship Id="rId187" Type="http://schemas.openxmlformats.org/officeDocument/2006/relationships/hyperlink" Target="https://github.com/camel-ai/camel/pull/1390" TargetMode="External"/><Relationship Id="rId1" Type="http://schemas.openxmlformats.org/officeDocument/2006/relationships/hyperlink" Target="https://github.com/crewAIInc/crewAI/issues/924" TargetMode="External"/><Relationship Id="rId212" Type="http://schemas.openxmlformats.org/officeDocument/2006/relationships/hyperlink" Target="https://github.com/camel-ai/camel/issues/1467" TargetMode="External"/><Relationship Id="rId233" Type="http://schemas.openxmlformats.org/officeDocument/2006/relationships/hyperlink" Target="https://github.com/awslabs/multi-agent-orchestrator/issues/121" TargetMode="External"/><Relationship Id="rId254" Type="http://schemas.openxmlformats.org/officeDocument/2006/relationships/hyperlink" Target="https://github.com/microsoft/autogen/issues/4197" TargetMode="External"/><Relationship Id="rId28" Type="http://schemas.openxmlformats.org/officeDocument/2006/relationships/hyperlink" Target="https://github.com/crewAIInc/crewAI/issues/1753" TargetMode="External"/><Relationship Id="rId49" Type="http://schemas.openxmlformats.org/officeDocument/2006/relationships/hyperlink" Target="https://github.com/crewAIInc/crewAI/pull/2230" TargetMode="External"/><Relationship Id="rId114" Type="http://schemas.openxmlformats.org/officeDocument/2006/relationships/hyperlink" Target="https://github.com/assafelovic/gpt-researcher/pull/925" TargetMode="External"/><Relationship Id="rId60" Type="http://schemas.openxmlformats.org/officeDocument/2006/relationships/hyperlink" Target="https://github.com/Josh-XT/AGiXT/issues/1023" TargetMode="External"/><Relationship Id="rId81" Type="http://schemas.openxmlformats.org/officeDocument/2006/relationships/hyperlink" Target="https://github.com/agentcoinorg/evo.ninja/issues/515" TargetMode="External"/><Relationship Id="rId135" Type="http://schemas.openxmlformats.org/officeDocument/2006/relationships/hyperlink" Target="https://github.com/superagent-ai/superagent/issues/935" TargetMode="External"/><Relationship Id="rId156" Type="http://schemas.openxmlformats.org/officeDocument/2006/relationships/hyperlink" Target="https://github.com/princeton-nlp/SWE-agent/issues/748" TargetMode="External"/><Relationship Id="rId177" Type="http://schemas.openxmlformats.org/officeDocument/2006/relationships/hyperlink" Target="https://github.com/OpenBMB/ChatDev/issues/308" TargetMode="External"/><Relationship Id="rId198" Type="http://schemas.openxmlformats.org/officeDocument/2006/relationships/hyperlink" Target="https://github.com/camel-ai/camel/issues/1179" TargetMode="External"/><Relationship Id="rId202" Type="http://schemas.openxmlformats.org/officeDocument/2006/relationships/hyperlink" Target="https://github.com/camel-ai/camel/pull/830" TargetMode="External"/><Relationship Id="rId223" Type="http://schemas.openxmlformats.org/officeDocument/2006/relationships/hyperlink" Target="https://github.com/yoheinakajima/babyagi/issues/276" TargetMode="External"/><Relationship Id="rId244" Type="http://schemas.openxmlformats.org/officeDocument/2006/relationships/hyperlink" Target="https://github.com/microsoft/autogen/issues/4791" TargetMode="External"/><Relationship Id="rId18" Type="http://schemas.openxmlformats.org/officeDocument/2006/relationships/hyperlink" Target="https://github.com/crewAIInc/crewAI/issues/1323" TargetMode="External"/><Relationship Id="rId39" Type="http://schemas.openxmlformats.org/officeDocument/2006/relationships/hyperlink" Target="https://github.com/crewAIInc/crewAI/pull/2108" TargetMode="External"/><Relationship Id="rId265" Type="http://schemas.openxmlformats.org/officeDocument/2006/relationships/hyperlink" Target="https://github.com/microsoft/autogen/pull/5164" TargetMode="External"/><Relationship Id="rId50" Type="http://schemas.openxmlformats.org/officeDocument/2006/relationships/hyperlink" Target="https://github.com/crewAIInc/crewAI/issues/2171" TargetMode="External"/><Relationship Id="rId104" Type="http://schemas.openxmlformats.org/officeDocument/2006/relationships/hyperlink" Target="https://github.com/assafelovic/gpt-researcher/pull/1161" TargetMode="External"/><Relationship Id="rId125" Type="http://schemas.openxmlformats.org/officeDocument/2006/relationships/hyperlink" Target="https://github.com/assafelovic/gpt-researcher/issues/892" TargetMode="External"/><Relationship Id="rId146" Type="http://schemas.openxmlformats.org/officeDocument/2006/relationships/hyperlink" Target="https://github.com/InternLM/lagent/pull/245" TargetMode="External"/><Relationship Id="rId167" Type="http://schemas.openxmlformats.org/officeDocument/2006/relationships/hyperlink" Target="https://github.com/SWE-agent/SWE-agent/issues/707" TargetMode="External"/><Relationship Id="rId188" Type="http://schemas.openxmlformats.org/officeDocument/2006/relationships/hyperlink" Target="https://github.com/camel-ai/camel/issues/1389" TargetMode="External"/><Relationship Id="rId71" Type="http://schemas.openxmlformats.org/officeDocument/2006/relationships/hyperlink" Target="https://github.com/Josh-XT/AGiXT/issues/1371" TargetMode="External"/><Relationship Id="rId92" Type="http://schemas.openxmlformats.org/officeDocument/2006/relationships/hyperlink" Target="https://github.com/assafelovic/gpt-researcher/pull/1029" TargetMode="External"/><Relationship Id="rId213" Type="http://schemas.openxmlformats.org/officeDocument/2006/relationships/hyperlink" Target="https://github.com/camel-ai/camel/pull/1613" TargetMode="External"/><Relationship Id="rId234" Type="http://schemas.openxmlformats.org/officeDocument/2006/relationships/hyperlink" Target="https://github.com/awslabs/multi-agent-orchestrator/pull/108" TargetMode="External"/><Relationship Id="rId2" Type="http://schemas.openxmlformats.org/officeDocument/2006/relationships/hyperlink" Target="https://github.com/crewAIInc/crewAI/issues/826" TargetMode="External"/><Relationship Id="rId29" Type="http://schemas.openxmlformats.org/officeDocument/2006/relationships/hyperlink" Target="https://github.com/crewAIInc/crewAI/pull/1826" TargetMode="External"/><Relationship Id="rId255" Type="http://schemas.openxmlformats.org/officeDocument/2006/relationships/hyperlink" Target="https://github.com/microsoft/autogen/pull/3362" TargetMode="External"/><Relationship Id="rId40" Type="http://schemas.openxmlformats.org/officeDocument/2006/relationships/hyperlink" Target="https://github.com/crewAIInc/crewAI/issues/2053" TargetMode="External"/><Relationship Id="rId115" Type="http://schemas.openxmlformats.org/officeDocument/2006/relationships/hyperlink" Target="https://github.com/assafelovic/gpt-researcher/issues/922" TargetMode="External"/><Relationship Id="rId136" Type="http://schemas.openxmlformats.org/officeDocument/2006/relationships/hyperlink" Target="https://github.com/superagent-ai/superagent/pull/886" TargetMode="External"/><Relationship Id="rId157" Type="http://schemas.openxmlformats.org/officeDocument/2006/relationships/hyperlink" Target="https://github.com/princeton-nlp/SWE-agent/pull/742" TargetMode="External"/><Relationship Id="rId178" Type="http://schemas.openxmlformats.org/officeDocument/2006/relationships/hyperlink" Target="https://github.com/OpenBMB/ChatDev/pull/277" TargetMode="External"/><Relationship Id="rId61" Type="http://schemas.openxmlformats.org/officeDocument/2006/relationships/hyperlink" Target="https://github.com/Josh-XT/AGiXT/issues/930" TargetMode="External"/><Relationship Id="rId82" Type="http://schemas.openxmlformats.org/officeDocument/2006/relationships/hyperlink" Target="https://github.com/agentcoinorg/evo.ninja/pull/505" TargetMode="External"/><Relationship Id="rId199" Type="http://schemas.openxmlformats.org/officeDocument/2006/relationships/hyperlink" Target="https://github.com/camel-ai/camel/issues/1025" TargetMode="External"/><Relationship Id="rId203" Type="http://schemas.openxmlformats.org/officeDocument/2006/relationships/hyperlink" Target="https://github.com/camel-ai/camel/issues/894" TargetMode="External"/><Relationship Id="rId19" Type="http://schemas.openxmlformats.org/officeDocument/2006/relationships/hyperlink" Target="https://github.com/crewAIInc/crewAI/issues/1270" TargetMode="External"/><Relationship Id="rId224" Type="http://schemas.openxmlformats.org/officeDocument/2006/relationships/hyperlink" Target="https://github.com/yoheinakajima/babyagi/pull/272" TargetMode="External"/><Relationship Id="rId245" Type="http://schemas.openxmlformats.org/officeDocument/2006/relationships/hyperlink" Target="https://github.com/microsoft/autogen/pull/4808" TargetMode="External"/><Relationship Id="rId266" Type="http://schemas.openxmlformats.org/officeDocument/2006/relationships/hyperlink" Target="https://github.com/microsoft/autogen/issues/5124" TargetMode="External"/><Relationship Id="rId30" Type="http://schemas.openxmlformats.org/officeDocument/2006/relationships/hyperlink" Target="https://github.com/crewAIInc/crewAI/issues/1824" TargetMode="External"/><Relationship Id="rId105" Type="http://schemas.openxmlformats.org/officeDocument/2006/relationships/hyperlink" Target="https://github.com/assafelovic/gpt-researcher/issues/1106" TargetMode="External"/><Relationship Id="rId126" Type="http://schemas.openxmlformats.org/officeDocument/2006/relationships/hyperlink" Target="https://github.com/assafelovic/gpt-researcher/commit/7977d0a603523adee9e6759827dae37754a71664" TargetMode="External"/><Relationship Id="rId147" Type="http://schemas.openxmlformats.org/officeDocument/2006/relationships/hyperlink" Target="https://github.com/InternLM/lagent/issues/239" TargetMode="External"/><Relationship Id="rId168" Type="http://schemas.openxmlformats.org/officeDocument/2006/relationships/hyperlink" Target="https://github.com/OpenBMB/ChatDev/pull/466" TargetMode="External"/><Relationship Id="rId51" Type="http://schemas.openxmlformats.org/officeDocument/2006/relationships/hyperlink" Target="https://github.com/crewAIInc/crewAI/pull/2231" TargetMode="External"/><Relationship Id="rId72" Type="http://schemas.openxmlformats.org/officeDocument/2006/relationships/hyperlink" Target="https://github.com/Josh-XT/AGiXT/pull/1376" TargetMode="External"/><Relationship Id="rId93" Type="http://schemas.openxmlformats.org/officeDocument/2006/relationships/hyperlink" Target="https://github.com/assafelovic/gpt-researcher/issues/1027" TargetMode="External"/><Relationship Id="rId189" Type="http://schemas.openxmlformats.org/officeDocument/2006/relationships/hyperlink" Target="https://github.com/camel-ai/camel/pull/1379" TargetMode="External"/><Relationship Id="rId3" Type="http://schemas.openxmlformats.org/officeDocument/2006/relationships/hyperlink" Target="https://github.com/crewAIInc/crewAI/issues/965" TargetMode="External"/><Relationship Id="rId214" Type="http://schemas.openxmlformats.org/officeDocument/2006/relationships/hyperlink" Target="https://github.com/camel-ai/camel/issues/1614" TargetMode="External"/><Relationship Id="rId235" Type="http://schemas.openxmlformats.org/officeDocument/2006/relationships/hyperlink" Target="https://github.com/awslabs/multi-agent-orchestrator/issues/106" TargetMode="External"/><Relationship Id="rId256" Type="http://schemas.openxmlformats.org/officeDocument/2006/relationships/hyperlink" Target="https://github.com/microsoft/autogen/issues/3361" TargetMode="External"/><Relationship Id="rId116" Type="http://schemas.openxmlformats.org/officeDocument/2006/relationships/hyperlink" Target="https://github.com/assafelovic/gpt-researcher/pull/915" TargetMode="External"/><Relationship Id="rId137" Type="http://schemas.openxmlformats.org/officeDocument/2006/relationships/hyperlink" Target="https://github.com/superagent-ai/superagent/issues/869" TargetMode="External"/><Relationship Id="rId158" Type="http://schemas.openxmlformats.org/officeDocument/2006/relationships/hyperlink" Target="https://github.com/princeton-nlp/SWE-agent/issues/741" TargetMode="External"/><Relationship Id="rId20" Type="http://schemas.openxmlformats.org/officeDocument/2006/relationships/hyperlink" Target="https://github.com/crewAIInc/crewAI/issues/879" TargetMode="External"/><Relationship Id="rId41" Type="http://schemas.openxmlformats.org/officeDocument/2006/relationships/hyperlink" Target="https://github.com/crewAIInc/crewAI/pull/2049" TargetMode="External"/><Relationship Id="rId62" Type="http://schemas.openxmlformats.org/officeDocument/2006/relationships/hyperlink" Target="https://github.com/Josh-XT/AGiXT/issues/833" TargetMode="External"/><Relationship Id="rId83" Type="http://schemas.openxmlformats.org/officeDocument/2006/relationships/hyperlink" Target="https://github.com/agentcoinorg/evo.ninja/issues/504" TargetMode="External"/><Relationship Id="rId179" Type="http://schemas.openxmlformats.org/officeDocument/2006/relationships/hyperlink" Target="https://github.com/OpenBMB/ChatDev/issues/284" TargetMode="External"/><Relationship Id="rId190" Type="http://schemas.openxmlformats.org/officeDocument/2006/relationships/hyperlink" Target="https://github.com/camel-ai/camel/issues/1376" TargetMode="External"/><Relationship Id="rId204" Type="http://schemas.openxmlformats.org/officeDocument/2006/relationships/hyperlink" Target="https://github.com/camel-ai/camel/pull/675" TargetMode="External"/><Relationship Id="rId225" Type="http://schemas.openxmlformats.org/officeDocument/2006/relationships/hyperlink" Target="https://github.com/yoheinakajima/babyagi/issues/266" TargetMode="External"/><Relationship Id="rId246" Type="http://schemas.openxmlformats.org/officeDocument/2006/relationships/hyperlink" Target="https://github.com/microsoft/autogen/issues/4785" TargetMode="External"/><Relationship Id="rId267" Type="http://schemas.openxmlformats.org/officeDocument/2006/relationships/hyperlink" Target="https://github.com/deepset-ai/haystack/issues/9523" TargetMode="External"/><Relationship Id="rId106" Type="http://schemas.openxmlformats.org/officeDocument/2006/relationships/hyperlink" Target="https://github.com/assafelovic/gpt-researcher/pull/1056" TargetMode="External"/><Relationship Id="rId127" Type="http://schemas.openxmlformats.org/officeDocument/2006/relationships/hyperlink" Target="https://github.com/assafelovic/gpt-researcher/issues/827" TargetMode="External"/><Relationship Id="rId10" Type="http://schemas.openxmlformats.org/officeDocument/2006/relationships/hyperlink" Target="https://github.com/crewAIInc/crewAI/issues/1489" TargetMode="External"/><Relationship Id="rId31" Type="http://schemas.openxmlformats.org/officeDocument/2006/relationships/hyperlink" Target="https://github.com/crewAIInc/crewAI/pull/1943" TargetMode="External"/><Relationship Id="rId52" Type="http://schemas.openxmlformats.org/officeDocument/2006/relationships/hyperlink" Target="https://github.com/crewAIInc/crewAI/issues/2175" TargetMode="External"/><Relationship Id="rId73" Type="http://schemas.openxmlformats.org/officeDocument/2006/relationships/hyperlink" Target="https://github.com/Josh-XT/AGiXT/issues/1370" TargetMode="External"/><Relationship Id="rId94" Type="http://schemas.openxmlformats.org/officeDocument/2006/relationships/hyperlink" Target="https://github.com/assafelovic/gpt-researcher/pull/1071" TargetMode="External"/><Relationship Id="rId148" Type="http://schemas.openxmlformats.org/officeDocument/2006/relationships/hyperlink" Target="https://github.com/InternLM/lagent/pull/245" TargetMode="External"/><Relationship Id="rId169" Type="http://schemas.openxmlformats.org/officeDocument/2006/relationships/hyperlink" Target="https://github.com/OpenBMB/ChatDev/issues/465" TargetMode="External"/><Relationship Id="rId4" Type="http://schemas.openxmlformats.org/officeDocument/2006/relationships/hyperlink" Target="https://github.com/crewAIInc/crewAI/pull/1536" TargetMode="External"/><Relationship Id="rId180" Type="http://schemas.openxmlformats.org/officeDocument/2006/relationships/hyperlink" Target="https://github.com/camel-ai/camel/issues/1044" TargetMode="External"/><Relationship Id="rId215" Type="http://schemas.openxmlformats.org/officeDocument/2006/relationships/hyperlink" Target="https://github.com/geekan/MetaGPT/issues/1335" TargetMode="External"/><Relationship Id="rId236" Type="http://schemas.openxmlformats.org/officeDocument/2006/relationships/hyperlink" Target="https://github.com/awslabs/multi-agent-orchestrator/pull/165" TargetMode="External"/><Relationship Id="rId257" Type="http://schemas.openxmlformats.org/officeDocument/2006/relationships/hyperlink" Target="https://github.com/microsoft/autogen/pull/2271" TargetMode="External"/><Relationship Id="rId42" Type="http://schemas.openxmlformats.org/officeDocument/2006/relationships/hyperlink" Target="https://github.com/crewAIInc/crewAI/issues/2026" TargetMode="External"/><Relationship Id="rId84" Type="http://schemas.openxmlformats.org/officeDocument/2006/relationships/hyperlink" Target="https://github.com/agentcoinorg/evo.ninja/pull/274" TargetMode="External"/><Relationship Id="rId138" Type="http://schemas.openxmlformats.org/officeDocument/2006/relationships/hyperlink" Target="https://github.com/superagent-ai/superagent/pull/844" TargetMode="External"/><Relationship Id="rId191" Type="http://schemas.openxmlformats.org/officeDocument/2006/relationships/hyperlink" Target="https://github.com/camel-ai/camel/pull/1392" TargetMode="External"/><Relationship Id="rId205" Type="http://schemas.openxmlformats.org/officeDocument/2006/relationships/hyperlink" Target="https://github.com/camel-ai/camel/issues/673" TargetMode="External"/><Relationship Id="rId247" Type="http://schemas.openxmlformats.org/officeDocument/2006/relationships/hyperlink" Target="https://github.com/microsoft/autogen/pull/4734" TargetMode="External"/><Relationship Id="rId107" Type="http://schemas.openxmlformats.org/officeDocument/2006/relationships/hyperlink" Target="https://github.com/assafelovic/gpt-researcher/issues/11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opLeftCell="A10" zoomScaleNormal="100" workbookViewId="0">
      <selection activeCell="C4" sqref="C4"/>
    </sheetView>
  </sheetViews>
  <sheetFormatPr defaultRowHeight="14.4" x14ac:dyDescent="0.55000000000000004"/>
  <cols>
    <col min="1" max="1" width="12.83984375" bestFit="1" customWidth="1"/>
    <col min="2" max="2" width="16.3125" bestFit="1" customWidth="1"/>
    <col min="3" max="3" width="77.7890625" bestFit="1" customWidth="1"/>
    <col min="4" max="4" width="19.05078125" bestFit="1" customWidth="1"/>
    <col min="5" max="5" width="10" bestFit="1" customWidth="1"/>
  </cols>
  <sheetData>
    <row r="1" spans="1:5" ht="28.8" x14ac:dyDescent="0.55000000000000004">
      <c r="A1" s="13" t="s">
        <v>82</v>
      </c>
      <c r="B1" s="13" t="s">
        <v>83</v>
      </c>
      <c r="C1" s="13" t="s">
        <v>84</v>
      </c>
      <c r="D1" s="13" t="s">
        <v>85</v>
      </c>
      <c r="E1" s="13" t="s">
        <v>131</v>
      </c>
    </row>
    <row r="2" spans="1:5" ht="57.6" x14ac:dyDescent="0.55000000000000004">
      <c r="A2" s="9" t="s">
        <v>86</v>
      </c>
      <c r="B2" s="9" t="s">
        <v>87</v>
      </c>
      <c r="C2" s="9" t="s">
        <v>88</v>
      </c>
      <c r="D2" s="10">
        <v>0</v>
      </c>
      <c r="E2" s="10">
        <v>3</v>
      </c>
    </row>
    <row r="3" spans="1:5" ht="43.2" x14ac:dyDescent="0.55000000000000004">
      <c r="A3" s="11"/>
      <c r="B3" s="11" t="s">
        <v>89</v>
      </c>
      <c r="C3" s="11" t="s">
        <v>90</v>
      </c>
      <c r="D3" s="12">
        <v>0</v>
      </c>
      <c r="E3" s="12">
        <v>6</v>
      </c>
    </row>
    <row r="4" spans="1:5" ht="43.2" x14ac:dyDescent="0.55000000000000004">
      <c r="A4" s="9"/>
      <c r="B4" s="9" t="s">
        <v>91</v>
      </c>
      <c r="C4" s="9" t="s">
        <v>92</v>
      </c>
      <c r="D4" s="10">
        <v>2</v>
      </c>
      <c r="E4" s="10">
        <v>6</v>
      </c>
    </row>
    <row r="5" spans="1:5" ht="28.8" x14ac:dyDescent="0.55000000000000004">
      <c r="A5" s="11" t="s">
        <v>93</v>
      </c>
      <c r="B5" s="11" t="s">
        <v>94</v>
      </c>
      <c r="C5" s="11" t="s">
        <v>95</v>
      </c>
      <c r="D5" s="12">
        <v>3</v>
      </c>
      <c r="E5" s="12">
        <v>7</v>
      </c>
    </row>
    <row r="6" spans="1:5" ht="28.8" x14ac:dyDescent="0.55000000000000004">
      <c r="A6" s="9"/>
      <c r="B6" s="9" t="s">
        <v>96</v>
      </c>
      <c r="C6" s="9" t="s">
        <v>97</v>
      </c>
      <c r="D6" s="10">
        <v>3</v>
      </c>
      <c r="E6" s="10">
        <v>7</v>
      </c>
    </row>
    <row r="7" spans="1:5" ht="43.2" x14ac:dyDescent="0.55000000000000004">
      <c r="A7" s="11"/>
      <c r="B7" s="11" t="s">
        <v>98</v>
      </c>
      <c r="C7" s="11" t="s">
        <v>99</v>
      </c>
      <c r="D7" s="12">
        <v>3</v>
      </c>
      <c r="E7" s="12">
        <v>17</v>
      </c>
    </row>
    <row r="8" spans="1:5" ht="28.8" x14ac:dyDescent="0.55000000000000004">
      <c r="A8" s="9"/>
      <c r="B8" s="9" t="s">
        <v>100</v>
      </c>
      <c r="C8" s="9" t="s">
        <v>101</v>
      </c>
      <c r="D8" s="10">
        <v>3</v>
      </c>
      <c r="E8" s="10">
        <v>9</v>
      </c>
    </row>
    <row r="9" spans="1:5" ht="43.2" x14ac:dyDescent="0.55000000000000004">
      <c r="A9" s="11" t="s">
        <v>102</v>
      </c>
      <c r="B9" s="11" t="s">
        <v>103</v>
      </c>
      <c r="C9" s="11" t="s">
        <v>104</v>
      </c>
      <c r="D9" s="12">
        <v>3</v>
      </c>
      <c r="E9" s="12">
        <v>5</v>
      </c>
    </row>
    <row r="10" spans="1:5" ht="43.2" x14ac:dyDescent="0.55000000000000004">
      <c r="A10" s="9"/>
      <c r="B10" s="9" t="s">
        <v>105</v>
      </c>
      <c r="C10" s="9" t="s">
        <v>106</v>
      </c>
      <c r="D10" s="10">
        <v>5</v>
      </c>
      <c r="E10" s="10">
        <v>22</v>
      </c>
    </row>
    <row r="11" spans="1:5" ht="28.8" x14ac:dyDescent="0.55000000000000004">
      <c r="A11" s="11"/>
      <c r="B11" s="11" t="s">
        <v>107</v>
      </c>
      <c r="C11" s="11" t="s">
        <v>108</v>
      </c>
      <c r="D11" s="12">
        <v>0</v>
      </c>
      <c r="E11" s="12">
        <v>2</v>
      </c>
    </row>
    <row r="12" spans="1:5" ht="43.2" x14ac:dyDescent="0.55000000000000004">
      <c r="A12" s="9" t="s">
        <v>109</v>
      </c>
      <c r="B12" s="9" t="s">
        <v>110</v>
      </c>
      <c r="C12" s="9" t="s">
        <v>111</v>
      </c>
      <c r="D12" s="10">
        <v>2</v>
      </c>
      <c r="E12" s="10">
        <v>14</v>
      </c>
    </row>
    <row r="13" spans="1:5" ht="43.2" x14ac:dyDescent="0.55000000000000004">
      <c r="A13" s="11"/>
      <c r="B13" s="11" t="s">
        <v>112</v>
      </c>
      <c r="C13" s="11" t="s">
        <v>113</v>
      </c>
      <c r="D13" s="12">
        <v>0</v>
      </c>
      <c r="E13" s="12">
        <v>7</v>
      </c>
    </row>
    <row r="14" spans="1:5" ht="43.2" x14ac:dyDescent="0.55000000000000004">
      <c r="A14" s="9"/>
      <c r="B14" s="9" t="s">
        <v>114</v>
      </c>
      <c r="C14" s="9" t="s">
        <v>115</v>
      </c>
      <c r="D14" s="10">
        <v>1</v>
      </c>
      <c r="E14" s="10">
        <v>17</v>
      </c>
    </row>
    <row r="15" spans="1:5" ht="28.8" x14ac:dyDescent="0.55000000000000004">
      <c r="A15" s="11"/>
      <c r="B15" s="11" t="s">
        <v>116</v>
      </c>
      <c r="C15" s="11" t="s">
        <v>117</v>
      </c>
      <c r="D15" s="12">
        <v>4</v>
      </c>
      <c r="E15" s="12">
        <v>6</v>
      </c>
    </row>
    <row r="16" spans="1:5" ht="28.8" x14ac:dyDescent="0.55000000000000004">
      <c r="A16" s="9"/>
      <c r="B16" s="9" t="s">
        <v>118</v>
      </c>
      <c r="C16" s="9" t="s">
        <v>119</v>
      </c>
      <c r="D16" s="10">
        <v>2</v>
      </c>
      <c r="E16" s="10">
        <v>10</v>
      </c>
    </row>
    <row r="17" spans="1:5" ht="28.8" x14ac:dyDescent="0.55000000000000004">
      <c r="A17" s="11"/>
      <c r="B17" s="11" t="s">
        <v>120</v>
      </c>
      <c r="C17" s="11"/>
      <c r="D17" s="12">
        <v>2</v>
      </c>
      <c r="E17" s="12">
        <v>9</v>
      </c>
    </row>
    <row r="18" spans="1:5" ht="28.8" x14ac:dyDescent="0.55000000000000004">
      <c r="A18" s="9" t="s">
        <v>121</v>
      </c>
      <c r="B18" s="9"/>
      <c r="C18" s="9" t="s">
        <v>122</v>
      </c>
      <c r="D18" s="10">
        <v>5</v>
      </c>
      <c r="E18" s="10">
        <v>13</v>
      </c>
    </row>
    <row r="19" spans="1:5" ht="43.2" x14ac:dyDescent="0.55000000000000004">
      <c r="A19" s="11" t="s">
        <v>123</v>
      </c>
      <c r="B19" s="11" t="s">
        <v>124</v>
      </c>
      <c r="C19" s="11" t="s">
        <v>125</v>
      </c>
      <c r="D19" s="12">
        <v>4</v>
      </c>
      <c r="E19" s="12">
        <v>18</v>
      </c>
    </row>
    <row r="20" spans="1:5" ht="28.8" x14ac:dyDescent="0.55000000000000004">
      <c r="A20" s="9"/>
      <c r="B20" s="9" t="s">
        <v>126</v>
      </c>
      <c r="C20" s="9" t="s">
        <v>127</v>
      </c>
      <c r="D20" s="10">
        <v>2</v>
      </c>
      <c r="E20" s="10">
        <v>9</v>
      </c>
    </row>
    <row r="21" spans="1:5" ht="28.8" x14ac:dyDescent="0.55000000000000004">
      <c r="A21" s="14"/>
      <c r="B21" s="14" t="s">
        <v>128</v>
      </c>
      <c r="C21" s="14" t="s">
        <v>129</v>
      </c>
      <c r="D21" s="15">
        <v>6</v>
      </c>
      <c r="E21" s="15">
        <v>14</v>
      </c>
    </row>
    <row r="22" spans="1:5" x14ac:dyDescent="0.55000000000000004">
      <c r="A22" s="16"/>
      <c r="B22" s="16"/>
      <c r="C22" s="18" t="s">
        <v>130</v>
      </c>
      <c r="D22" s="17">
        <f>SUM(D2:D21)</f>
        <v>50</v>
      </c>
      <c r="E22" s="17">
        <f>SUM(E2:E21)</f>
        <v>201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
  <sheetViews>
    <sheetView topLeftCell="A37" workbookViewId="0">
      <selection activeCell="B58" sqref="B58"/>
    </sheetView>
  </sheetViews>
  <sheetFormatPr defaultRowHeight="14.4" x14ac:dyDescent="0.55000000000000004"/>
  <cols>
    <col min="1" max="1" width="17.3125" bestFit="1" customWidth="1"/>
    <col min="2" max="2" width="17.41796875" bestFit="1" customWidth="1"/>
    <col min="3" max="3" width="12.47265625" bestFit="1" customWidth="1"/>
    <col min="4" max="5" width="15.41796875" customWidth="1"/>
    <col min="6" max="6" width="12.578125" customWidth="1"/>
    <col min="7" max="8" width="16.41796875" customWidth="1"/>
  </cols>
  <sheetData>
    <row r="1" spans="1:9" x14ac:dyDescent="0.55000000000000004">
      <c r="A1" s="135" t="s">
        <v>224</v>
      </c>
      <c r="B1" s="135"/>
      <c r="C1" s="135"/>
    </row>
    <row r="3" spans="1:9" x14ac:dyDescent="0.55000000000000004">
      <c r="A3" t="s">
        <v>229</v>
      </c>
      <c r="B3" s="7" t="s">
        <v>225</v>
      </c>
      <c r="C3" s="7" t="s">
        <v>226</v>
      </c>
    </row>
    <row r="4" spans="1:9" x14ac:dyDescent="0.55000000000000004">
      <c r="A4" s="30" t="s">
        <v>227</v>
      </c>
      <c r="B4" s="20">
        <v>3</v>
      </c>
      <c r="C4" s="20">
        <v>2</v>
      </c>
    </row>
    <row r="5" spans="1:9" x14ac:dyDescent="0.55000000000000004">
      <c r="A5" s="30" t="s">
        <v>217</v>
      </c>
      <c r="B5" s="20">
        <v>1</v>
      </c>
      <c r="C5" s="20">
        <v>1</v>
      </c>
    </row>
    <row r="6" spans="1:9" x14ac:dyDescent="0.55000000000000004">
      <c r="A6" s="30" t="s">
        <v>228</v>
      </c>
      <c r="B6" s="20">
        <v>1</v>
      </c>
      <c r="C6" s="20">
        <v>3</v>
      </c>
    </row>
    <row r="9" spans="1:9" x14ac:dyDescent="0.55000000000000004">
      <c r="A9" s="135" t="s">
        <v>230</v>
      </c>
      <c r="B9" s="135"/>
      <c r="C9" s="135"/>
      <c r="D9" s="135"/>
      <c r="E9" s="135"/>
      <c r="F9" s="135"/>
      <c r="G9" s="135"/>
      <c r="H9" s="135"/>
    </row>
    <row r="11" spans="1:9" ht="14.4" customHeight="1" x14ac:dyDescent="0.55000000000000004">
      <c r="A11" s="34"/>
      <c r="B11" s="34"/>
      <c r="C11" s="136" t="s">
        <v>231</v>
      </c>
      <c r="D11" s="136"/>
      <c r="E11" s="136"/>
      <c r="F11" s="136" t="s">
        <v>232</v>
      </c>
      <c r="G11" s="136"/>
      <c r="H11" s="136"/>
      <c r="I11" s="34"/>
    </row>
    <row r="12" spans="1:9" ht="28.8" customHeight="1" x14ac:dyDescent="0.55000000000000004">
      <c r="A12" s="33" t="s">
        <v>82</v>
      </c>
      <c r="B12" s="33" t="s">
        <v>83</v>
      </c>
      <c r="C12" s="35" t="s">
        <v>227</v>
      </c>
      <c r="D12" s="35" t="s">
        <v>217</v>
      </c>
      <c r="E12" s="36" t="s">
        <v>228</v>
      </c>
      <c r="F12" s="35" t="s">
        <v>238</v>
      </c>
      <c r="G12" s="35" t="s">
        <v>239</v>
      </c>
      <c r="H12" s="36" t="s">
        <v>240</v>
      </c>
      <c r="I12" s="35" t="s">
        <v>233</v>
      </c>
    </row>
    <row r="13" spans="1:9" ht="57.6" x14ac:dyDescent="0.55000000000000004">
      <c r="A13" s="32" t="s">
        <v>184</v>
      </c>
      <c r="B13" s="32" t="s">
        <v>234</v>
      </c>
      <c r="C13" s="37">
        <v>0</v>
      </c>
      <c r="D13" s="37">
        <v>0</v>
      </c>
      <c r="E13" s="37">
        <v>0</v>
      </c>
      <c r="F13" s="37">
        <v>0</v>
      </c>
      <c r="G13" s="37">
        <v>0</v>
      </c>
      <c r="H13" s="37">
        <v>0</v>
      </c>
      <c r="I13" s="38">
        <v>0</v>
      </c>
    </row>
    <row r="14" spans="1:9" ht="72" x14ac:dyDescent="0.55000000000000004">
      <c r="A14" s="32"/>
      <c r="B14" s="32" t="s">
        <v>235</v>
      </c>
      <c r="C14" s="37">
        <v>0</v>
      </c>
      <c r="D14" s="37">
        <v>0</v>
      </c>
      <c r="E14" s="37">
        <v>0</v>
      </c>
      <c r="F14" s="37">
        <v>0</v>
      </c>
      <c r="G14" s="37">
        <v>0</v>
      </c>
      <c r="H14" s="37">
        <v>0</v>
      </c>
      <c r="I14" s="38">
        <v>0</v>
      </c>
    </row>
    <row r="15" spans="1:9" ht="72" x14ac:dyDescent="0.55000000000000004">
      <c r="A15" s="32"/>
      <c r="B15" s="32" t="s">
        <v>185</v>
      </c>
      <c r="C15" s="37">
        <v>0</v>
      </c>
      <c r="D15" s="37">
        <v>0</v>
      </c>
      <c r="E15" s="37">
        <v>0</v>
      </c>
      <c r="F15" s="37">
        <v>0</v>
      </c>
      <c r="G15" s="37">
        <v>0</v>
      </c>
      <c r="H15" s="37">
        <v>0</v>
      </c>
      <c r="I15" s="38">
        <v>0</v>
      </c>
    </row>
    <row r="16" spans="1:9" ht="43.2" x14ac:dyDescent="0.55000000000000004">
      <c r="A16" s="32" t="s">
        <v>142</v>
      </c>
      <c r="B16" s="32" t="s">
        <v>168</v>
      </c>
      <c r="C16" s="37">
        <v>1</v>
      </c>
      <c r="D16" s="37">
        <v>0.33333333333333331</v>
      </c>
      <c r="E16" s="37">
        <v>0</v>
      </c>
      <c r="F16" s="37">
        <v>0</v>
      </c>
      <c r="G16" s="37">
        <v>1</v>
      </c>
      <c r="H16" s="37">
        <v>1</v>
      </c>
      <c r="I16" s="38">
        <v>3.333333333333333</v>
      </c>
    </row>
    <row r="17" spans="1:9" ht="43.2" x14ac:dyDescent="0.55000000000000004">
      <c r="A17" s="32"/>
      <c r="B17" s="32" t="s">
        <v>177</v>
      </c>
      <c r="C17" s="37">
        <v>0</v>
      </c>
      <c r="D17" s="37">
        <v>0</v>
      </c>
      <c r="E17" s="37">
        <v>0</v>
      </c>
      <c r="F17" s="37">
        <v>0</v>
      </c>
      <c r="G17" s="37">
        <v>0</v>
      </c>
      <c r="H17" s="37">
        <v>0</v>
      </c>
      <c r="I17" s="38">
        <v>0</v>
      </c>
    </row>
    <row r="18" spans="1:9" ht="43.2" x14ac:dyDescent="0.55000000000000004">
      <c r="A18" s="32"/>
      <c r="B18" s="32" t="s">
        <v>143</v>
      </c>
      <c r="C18" s="37">
        <v>0</v>
      </c>
      <c r="D18" s="37">
        <v>0</v>
      </c>
      <c r="E18" s="37">
        <v>0</v>
      </c>
      <c r="F18" s="37">
        <v>0</v>
      </c>
      <c r="G18" s="37">
        <v>0</v>
      </c>
      <c r="H18" s="37">
        <v>0</v>
      </c>
      <c r="I18" s="38">
        <v>0</v>
      </c>
    </row>
    <row r="19" spans="1:9" ht="28.8" x14ac:dyDescent="0.55000000000000004">
      <c r="A19" s="32"/>
      <c r="B19" s="32" t="s">
        <v>159</v>
      </c>
      <c r="C19" s="37">
        <v>0</v>
      </c>
      <c r="D19" s="37">
        <v>0</v>
      </c>
      <c r="E19" s="37">
        <v>0</v>
      </c>
      <c r="F19" s="37">
        <v>0</v>
      </c>
      <c r="G19" s="37">
        <v>0</v>
      </c>
      <c r="H19" s="37">
        <v>0</v>
      </c>
      <c r="I19" s="38">
        <v>0</v>
      </c>
    </row>
    <row r="20" spans="1:9" ht="43.2" x14ac:dyDescent="0.55000000000000004">
      <c r="A20" s="32" t="s">
        <v>171</v>
      </c>
      <c r="B20" s="32" t="s">
        <v>188</v>
      </c>
      <c r="C20" s="37">
        <v>0</v>
      </c>
      <c r="D20" s="37">
        <v>0</v>
      </c>
      <c r="E20" s="37">
        <v>0</v>
      </c>
      <c r="F20" s="37">
        <v>0</v>
      </c>
      <c r="G20" s="37">
        <v>0</v>
      </c>
      <c r="H20" s="37">
        <v>0</v>
      </c>
      <c r="I20" s="38">
        <v>0</v>
      </c>
    </row>
    <row r="21" spans="1:9" ht="43.2" x14ac:dyDescent="0.55000000000000004">
      <c r="A21" s="32"/>
      <c r="B21" s="32" t="s">
        <v>172</v>
      </c>
      <c r="C21" s="37">
        <v>0</v>
      </c>
      <c r="D21" s="37">
        <v>0</v>
      </c>
      <c r="E21" s="37">
        <v>0</v>
      </c>
      <c r="F21" s="37">
        <v>0</v>
      </c>
      <c r="G21" s="37">
        <v>0</v>
      </c>
      <c r="H21" s="37">
        <v>0</v>
      </c>
      <c r="I21" s="38">
        <v>0</v>
      </c>
    </row>
    <row r="22" spans="1:9" ht="43.2" x14ac:dyDescent="0.55000000000000004">
      <c r="A22" s="32"/>
      <c r="B22" s="32" t="s">
        <v>236</v>
      </c>
      <c r="C22" s="37">
        <v>0</v>
      </c>
      <c r="D22" s="37">
        <v>0</v>
      </c>
      <c r="E22" s="37">
        <v>0</v>
      </c>
      <c r="F22" s="37">
        <v>0</v>
      </c>
      <c r="G22" s="37">
        <v>0</v>
      </c>
      <c r="H22" s="37">
        <v>0</v>
      </c>
      <c r="I22" s="38">
        <v>0</v>
      </c>
    </row>
    <row r="23" spans="1:9" ht="72" x14ac:dyDescent="0.55000000000000004">
      <c r="A23" s="32" t="s">
        <v>154</v>
      </c>
      <c r="B23" s="32" t="s">
        <v>157</v>
      </c>
      <c r="C23" s="37">
        <v>0</v>
      </c>
      <c r="D23" s="37">
        <v>0</v>
      </c>
      <c r="E23" s="37">
        <v>0</v>
      </c>
      <c r="F23" s="37">
        <v>0</v>
      </c>
      <c r="G23" s="37">
        <v>0</v>
      </c>
      <c r="H23" s="37">
        <v>0</v>
      </c>
      <c r="I23" s="38">
        <v>0</v>
      </c>
    </row>
    <row r="24" spans="1:9" ht="28.8" x14ac:dyDescent="0.55000000000000004">
      <c r="A24" s="32"/>
      <c r="B24" s="32" t="s">
        <v>237</v>
      </c>
      <c r="C24" s="37">
        <v>0</v>
      </c>
      <c r="D24" s="37">
        <v>0</v>
      </c>
      <c r="E24" s="37">
        <v>0</v>
      </c>
      <c r="F24" s="37">
        <v>0</v>
      </c>
      <c r="G24" s="37">
        <v>0</v>
      </c>
      <c r="H24" s="37">
        <v>0</v>
      </c>
      <c r="I24" s="38">
        <v>0</v>
      </c>
    </row>
    <row r="25" spans="1:9" ht="57.6" x14ac:dyDescent="0.55000000000000004">
      <c r="A25" s="32"/>
      <c r="B25" s="32" t="s">
        <v>201</v>
      </c>
      <c r="C25" s="37">
        <v>0</v>
      </c>
      <c r="D25" s="37">
        <v>0</v>
      </c>
      <c r="E25" s="37">
        <v>0</v>
      </c>
      <c r="F25" s="37">
        <v>0</v>
      </c>
      <c r="G25" s="37">
        <v>0</v>
      </c>
      <c r="H25" s="37">
        <v>0</v>
      </c>
      <c r="I25" s="38">
        <v>0</v>
      </c>
    </row>
    <row r="26" spans="1:9" ht="43.2" x14ac:dyDescent="0.55000000000000004">
      <c r="A26" s="32"/>
      <c r="B26" s="32" t="s">
        <v>155</v>
      </c>
      <c r="C26" s="37">
        <v>0</v>
      </c>
      <c r="D26" s="37">
        <v>0</v>
      </c>
      <c r="E26" s="37">
        <v>0</v>
      </c>
      <c r="F26" s="37">
        <v>0</v>
      </c>
      <c r="G26" s="37">
        <v>0</v>
      </c>
      <c r="H26" s="37">
        <v>0</v>
      </c>
      <c r="I26" s="38">
        <v>0</v>
      </c>
    </row>
    <row r="27" spans="1:9" ht="28.8" x14ac:dyDescent="0.55000000000000004">
      <c r="A27" s="32"/>
      <c r="B27" s="32" t="s">
        <v>196</v>
      </c>
      <c r="C27" s="37">
        <v>0</v>
      </c>
      <c r="D27" s="37">
        <v>0</v>
      </c>
      <c r="E27" s="37">
        <v>0</v>
      </c>
      <c r="F27" s="37">
        <v>0</v>
      </c>
      <c r="G27" s="37">
        <v>0</v>
      </c>
      <c r="H27" s="37">
        <v>0</v>
      </c>
      <c r="I27" s="38">
        <v>0</v>
      </c>
    </row>
    <row r="28" spans="1:9" ht="43.2" x14ac:dyDescent="0.55000000000000004">
      <c r="A28" s="32"/>
      <c r="B28" s="32" t="s">
        <v>120</v>
      </c>
      <c r="C28" s="37">
        <v>0.66666666666666663</v>
      </c>
      <c r="D28" s="37">
        <v>0</v>
      </c>
      <c r="E28" s="37">
        <v>0.66666666666666663</v>
      </c>
      <c r="F28" s="37">
        <v>1</v>
      </c>
      <c r="G28" s="37">
        <v>0</v>
      </c>
      <c r="H28" s="37">
        <v>0</v>
      </c>
      <c r="I28" s="38">
        <v>2.333333333333333</v>
      </c>
    </row>
    <row r="29" spans="1:9" x14ac:dyDescent="0.55000000000000004">
      <c r="A29" s="32" t="s">
        <v>241</v>
      </c>
      <c r="B29" s="32"/>
      <c r="C29" s="37">
        <v>0</v>
      </c>
      <c r="D29" s="37">
        <v>0</v>
      </c>
      <c r="E29" s="37">
        <v>0</v>
      </c>
      <c r="F29" s="37">
        <v>0</v>
      </c>
      <c r="G29" s="37">
        <v>0</v>
      </c>
      <c r="H29" s="37">
        <v>0</v>
      </c>
      <c r="I29" s="38">
        <v>0</v>
      </c>
    </row>
    <row r="30" spans="1:9" ht="43.2" x14ac:dyDescent="0.55000000000000004">
      <c r="A30" s="32" t="s">
        <v>139</v>
      </c>
      <c r="B30" s="32" t="s">
        <v>140</v>
      </c>
      <c r="C30" s="37">
        <v>0</v>
      </c>
      <c r="D30" s="37">
        <v>0</v>
      </c>
      <c r="E30" s="37">
        <v>0</v>
      </c>
      <c r="F30" s="37">
        <v>0</v>
      </c>
      <c r="G30" s="37">
        <v>0</v>
      </c>
      <c r="H30" s="37">
        <v>0</v>
      </c>
      <c r="I30" s="38">
        <v>0</v>
      </c>
    </row>
    <row r="31" spans="1:9" ht="43.2" x14ac:dyDescent="0.55000000000000004">
      <c r="A31" s="32"/>
      <c r="B31" s="32" t="s">
        <v>161</v>
      </c>
      <c r="C31" s="37">
        <v>0</v>
      </c>
      <c r="D31" s="37">
        <v>0</v>
      </c>
      <c r="E31" s="37">
        <v>0</v>
      </c>
      <c r="F31" s="37">
        <v>0</v>
      </c>
      <c r="G31" s="37">
        <v>0</v>
      </c>
      <c r="H31" s="37">
        <v>0</v>
      </c>
      <c r="I31" s="38">
        <v>0</v>
      </c>
    </row>
    <row r="32" spans="1:9" ht="28.8" x14ac:dyDescent="0.55000000000000004">
      <c r="A32" s="32"/>
      <c r="B32" s="32" t="s">
        <v>145</v>
      </c>
      <c r="C32" s="37">
        <v>0</v>
      </c>
      <c r="D32" s="37">
        <v>0</v>
      </c>
      <c r="E32" s="37">
        <v>0</v>
      </c>
      <c r="F32" s="37">
        <v>1</v>
      </c>
      <c r="G32" s="37">
        <v>0</v>
      </c>
      <c r="H32" s="37">
        <v>1.3333333333333333</v>
      </c>
      <c r="I32" s="38">
        <v>2.333333333333333</v>
      </c>
    </row>
    <row r="34" spans="2:8" x14ac:dyDescent="0.55000000000000004">
      <c r="B34" s="7" t="s">
        <v>242</v>
      </c>
      <c r="C34" s="20">
        <v>0</v>
      </c>
      <c r="D34" s="20">
        <v>0</v>
      </c>
      <c r="E34" s="20">
        <v>0</v>
      </c>
      <c r="F34" s="20">
        <v>1</v>
      </c>
      <c r="G34" s="20">
        <v>0</v>
      </c>
      <c r="H34" s="20">
        <v>1.3333333333333333</v>
      </c>
    </row>
    <row r="35" spans="2:8" ht="28.8" x14ac:dyDescent="0.55000000000000004">
      <c r="B35" s="8" t="s">
        <v>243</v>
      </c>
      <c r="C35" s="20">
        <v>2.6666666666666665</v>
      </c>
      <c r="D35" s="20">
        <v>0</v>
      </c>
      <c r="E35" s="20">
        <v>2</v>
      </c>
      <c r="F35" s="20">
        <v>3</v>
      </c>
      <c r="G35" s="20">
        <v>0</v>
      </c>
      <c r="H35" s="20">
        <v>4</v>
      </c>
    </row>
    <row r="36" spans="2:8" ht="28.8" x14ac:dyDescent="0.55000000000000004">
      <c r="B36" s="8" t="s">
        <v>244</v>
      </c>
      <c r="C36" s="20">
        <v>1.6666666666666665</v>
      </c>
      <c r="D36" s="20">
        <v>0.33333333333333331</v>
      </c>
      <c r="E36" s="20">
        <v>0.66666666666666663</v>
      </c>
      <c r="F36" s="20">
        <v>1</v>
      </c>
      <c r="G36" s="20">
        <v>1</v>
      </c>
      <c r="H36" s="20">
        <v>0.99999999999999978</v>
      </c>
    </row>
    <row r="37" spans="2:8" ht="28.8" x14ac:dyDescent="0.55000000000000004">
      <c r="B37" s="8" t="s">
        <v>245</v>
      </c>
      <c r="C37" s="20">
        <v>3.3333333333333335</v>
      </c>
      <c r="D37" s="20">
        <v>0.33333333333333331</v>
      </c>
      <c r="E37" s="20">
        <v>1.6666666666666665</v>
      </c>
      <c r="F37" s="20">
        <v>3</v>
      </c>
      <c r="G37" s="20">
        <v>1</v>
      </c>
      <c r="H37" s="20">
        <v>2.3333333333333339</v>
      </c>
    </row>
    <row r="38" spans="2:8" ht="28.8" x14ac:dyDescent="0.55000000000000004">
      <c r="B38" s="8" t="s">
        <v>246</v>
      </c>
      <c r="C38" s="20">
        <v>4.6428571428571423</v>
      </c>
      <c r="D38" s="20">
        <v>2.3333333333333335</v>
      </c>
      <c r="E38" s="20">
        <v>3.6666666666666665</v>
      </c>
      <c r="F38" s="20">
        <v>4.5</v>
      </c>
      <c r="G38" s="20">
        <v>1.9999999999999998</v>
      </c>
      <c r="H38" s="20">
        <v>4.4795238095238101</v>
      </c>
    </row>
    <row r="39" spans="2:8" ht="28.8" x14ac:dyDescent="0.55000000000000004">
      <c r="B39" s="8" t="s">
        <v>247</v>
      </c>
      <c r="C39" s="20">
        <v>3.625</v>
      </c>
      <c r="D39" s="20">
        <v>1.3333333333333333</v>
      </c>
      <c r="E39" s="20">
        <v>2.6818181818181817</v>
      </c>
      <c r="F39" s="20">
        <v>3.5</v>
      </c>
      <c r="G39" s="20">
        <v>1.6666666666666665</v>
      </c>
      <c r="H39" s="20">
        <v>3.9567965367965368</v>
      </c>
    </row>
    <row r="40" spans="2:8" ht="43.2" x14ac:dyDescent="0.55000000000000004">
      <c r="B40" s="8" t="s">
        <v>248</v>
      </c>
      <c r="C40" s="20">
        <v>9.2692951015531655</v>
      </c>
      <c r="D40" s="20">
        <v>3.5022222222222212</v>
      </c>
      <c r="E40" s="20">
        <v>7.3689247311827959</v>
      </c>
      <c r="F40" s="20">
        <v>9.176702508960572</v>
      </c>
      <c r="G40" s="20">
        <v>2.7611111111111102</v>
      </c>
      <c r="H40" s="20">
        <v>8.4277777777777771</v>
      </c>
    </row>
    <row r="41" spans="2:8" ht="43.2" x14ac:dyDescent="0.55000000000000004">
      <c r="B41" s="8" t="s">
        <v>249</v>
      </c>
      <c r="C41" s="20">
        <v>2.8677777777777775</v>
      </c>
      <c r="D41" s="20">
        <v>0.77444444444444449</v>
      </c>
      <c r="E41" s="20">
        <v>4.7038095238095234</v>
      </c>
      <c r="F41" s="20">
        <v>5.248823529411764</v>
      </c>
      <c r="G41" s="20">
        <v>1.7222222222222223</v>
      </c>
      <c r="H41" s="20">
        <v>5.6342203548085923</v>
      </c>
    </row>
    <row r="44" spans="2:8" ht="28.8" customHeight="1" x14ac:dyDescent="0.55000000000000004">
      <c r="B44" s="130" t="s">
        <v>254</v>
      </c>
      <c r="C44" s="131"/>
      <c r="D44" s="131"/>
      <c r="E44" s="131"/>
      <c r="F44" s="131"/>
      <c r="G44" s="131"/>
      <c r="H44" s="132"/>
    </row>
    <row r="45" spans="2:8" x14ac:dyDescent="0.55000000000000004">
      <c r="B45" s="40" t="s">
        <v>250</v>
      </c>
      <c r="C45" s="41">
        <v>3.5087719298245612E-2</v>
      </c>
      <c r="D45" s="41">
        <v>7.0175438596491229E-3</v>
      </c>
      <c r="E45" s="41">
        <v>1.4035087719298246E-2</v>
      </c>
      <c r="F45" s="41">
        <v>3.7719298245614034E-2</v>
      </c>
      <c r="G45" s="41">
        <v>2.1052631578947368E-2</v>
      </c>
      <c r="H45" s="42">
        <v>4.3274853801169591E-2</v>
      </c>
    </row>
    <row r="46" spans="2:8" x14ac:dyDescent="0.55000000000000004">
      <c r="B46" s="40" t="s">
        <v>251</v>
      </c>
      <c r="C46" s="41">
        <v>0.11461988304093568</v>
      </c>
      <c r="D46" s="41">
        <v>7.0175438596491229E-3</v>
      </c>
      <c r="E46" s="41">
        <v>6.8421052631578938E-2</v>
      </c>
      <c r="F46" s="41">
        <v>0.11315789473684211</v>
      </c>
      <c r="G46" s="41">
        <v>2.1052631578947368E-2</v>
      </c>
      <c r="H46" s="42">
        <v>0.11578947368421054</v>
      </c>
    </row>
    <row r="47" spans="2:8" x14ac:dyDescent="0.55000000000000004">
      <c r="B47" s="40" t="s">
        <v>252</v>
      </c>
      <c r="C47" s="41">
        <v>0.27252400715049274</v>
      </c>
      <c r="D47" s="41">
        <v>0.11261988304093565</v>
      </c>
      <c r="E47" s="41">
        <v>0.21624636860969629</v>
      </c>
      <c r="F47" s="41">
        <v>0.26819373703074889</v>
      </c>
      <c r="G47" s="41">
        <v>9.146198830409355E-2</v>
      </c>
      <c r="H47" s="42">
        <v>0.25208563074352552</v>
      </c>
    </row>
    <row r="48" spans="2:8" x14ac:dyDescent="0.55000000000000004">
      <c r="B48" s="43" t="s">
        <v>253</v>
      </c>
      <c r="C48" s="44">
        <v>0.12079093567251462</v>
      </c>
      <c r="D48" s="44">
        <v>3.8526315789473686E-2</v>
      </c>
      <c r="E48" s="44">
        <v>0.14372453861927545</v>
      </c>
      <c r="F48" s="44">
        <v>0.16883488132094943</v>
      </c>
      <c r="G48" s="44">
        <v>6.403508771929825E-2</v>
      </c>
      <c r="H48" s="45">
        <v>0.18456177431100035</v>
      </c>
    </row>
    <row r="51" spans="1:7" x14ac:dyDescent="0.55000000000000004">
      <c r="A51" s="134" t="s">
        <v>257</v>
      </c>
      <c r="B51" s="134"/>
      <c r="C51" s="134"/>
      <c r="D51" s="134"/>
      <c r="E51" s="134"/>
      <c r="F51" s="134"/>
      <c r="G51" s="134"/>
    </row>
    <row r="52" spans="1:7" x14ac:dyDescent="0.55000000000000004">
      <c r="B52" s="133" t="s">
        <v>231</v>
      </c>
      <c r="C52" s="133"/>
      <c r="D52" s="133"/>
      <c r="E52" s="133" t="s">
        <v>232</v>
      </c>
      <c r="F52" s="133"/>
      <c r="G52" s="133"/>
    </row>
    <row r="53" spans="1:7" x14ac:dyDescent="0.55000000000000004">
      <c r="A53" s="46" t="s">
        <v>258</v>
      </c>
      <c r="B53" s="8" t="s">
        <v>227</v>
      </c>
      <c r="C53" s="8" t="s">
        <v>217</v>
      </c>
      <c r="D53" s="31" t="s">
        <v>228</v>
      </c>
      <c r="E53" s="8" t="s">
        <v>238</v>
      </c>
      <c r="F53" s="8" t="s">
        <v>239</v>
      </c>
      <c r="G53" s="31" t="s">
        <v>240</v>
      </c>
    </row>
    <row r="54" spans="1:7" x14ac:dyDescent="0.55000000000000004">
      <c r="A54" s="46" t="s">
        <v>255</v>
      </c>
      <c r="B54" s="39">
        <f>3/50</f>
        <v>0.06</v>
      </c>
      <c r="C54" s="39">
        <f>1/50</f>
        <v>0.02</v>
      </c>
      <c r="D54" s="39">
        <f>1/50</f>
        <v>0.02</v>
      </c>
      <c r="E54" s="39">
        <f>2/50</f>
        <v>0.04</v>
      </c>
      <c r="F54" s="39">
        <f>1/50</f>
        <v>0.02</v>
      </c>
      <c r="G54" s="39">
        <f>3/50</f>
        <v>0.06</v>
      </c>
    </row>
    <row r="55" spans="1:7" x14ac:dyDescent="0.55000000000000004">
      <c r="A55" s="46" t="s">
        <v>256</v>
      </c>
      <c r="B55" s="39">
        <f>COUNTIF([1]!Table2[Correct], "&gt;0")/50</f>
        <v>0.06</v>
      </c>
      <c r="C55" s="39">
        <f>COUNTIF([1]!Table2[Correct3],"&gt;0")/50</f>
        <v>0.02</v>
      </c>
      <c r="D55" s="39">
        <f>COUNTIF([1]!Table2[Correct5],"&gt;0")/50</f>
        <v>0.02</v>
      </c>
      <c r="E55" s="39">
        <f>COUNTIF([1]!Table2[Correct2],"&gt;0")/50</f>
        <v>0.04</v>
      </c>
      <c r="F55" s="39">
        <f>COUNTIF([1]!Table2[Correct4],"&gt;0")/50</f>
        <v>0.02</v>
      </c>
      <c r="G55" s="39">
        <f>COUNTIF([1]!Table2[Correct6],"&gt;0")/50</f>
        <v>0.06</v>
      </c>
    </row>
  </sheetData>
  <mergeCells count="8">
    <mergeCell ref="B44:H44"/>
    <mergeCell ref="B52:D52"/>
    <mergeCell ref="E52:G52"/>
    <mergeCell ref="A51:G51"/>
    <mergeCell ref="A1:C1"/>
    <mergeCell ref="A9:H9"/>
    <mergeCell ref="C11:E11"/>
    <mergeCell ref="F11:H11"/>
  </mergeCells>
  <hyperlinks>
    <hyperlink ref="A54" r:id="rId1"/>
    <hyperlink ref="A55" r:id="rId2"/>
    <hyperlink ref="A51" r:id="rId3"/>
    <hyperlink ref="A53" r:id="rId4"/>
  </hyperlinks>
  <pageMargins left="0.7" right="0.7" top="0.75" bottom="0.75" header="0.3" footer="0.3"/>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5"/>
  <sheetViews>
    <sheetView tabSelected="1" topLeftCell="A9" zoomScale="80" zoomScaleNormal="80" workbookViewId="0">
      <selection activeCell="A10" sqref="A10"/>
    </sheetView>
  </sheetViews>
  <sheetFormatPr defaultRowHeight="14.4" x14ac:dyDescent="0.55000000000000004"/>
  <cols>
    <col min="3" max="3" width="12.47265625" customWidth="1"/>
    <col min="4" max="4" width="10.41796875" bestFit="1" customWidth="1"/>
    <col min="5" max="5" width="10.20703125" bestFit="1" customWidth="1"/>
    <col min="7" max="7" width="11.26171875" customWidth="1"/>
  </cols>
  <sheetData>
    <row r="1" spans="1:32" x14ac:dyDescent="0.55000000000000004">
      <c r="H1" s="135" t="s">
        <v>51</v>
      </c>
      <c r="I1" s="135"/>
      <c r="J1" s="135"/>
      <c r="K1" s="135"/>
      <c r="L1" s="135" t="s">
        <v>52</v>
      </c>
      <c r="M1" s="135"/>
      <c r="N1" s="135"/>
      <c r="O1" s="135"/>
      <c r="P1" s="135" t="s">
        <v>53</v>
      </c>
      <c r="Q1" s="135"/>
      <c r="R1" s="135"/>
      <c r="S1" s="135"/>
      <c r="T1" s="135" t="s">
        <v>54</v>
      </c>
      <c r="U1" s="135"/>
      <c r="V1" s="135"/>
      <c r="W1" s="135"/>
      <c r="X1" s="135" t="s">
        <v>55</v>
      </c>
      <c r="Y1" s="135"/>
      <c r="Z1" s="135"/>
      <c r="AA1" s="135"/>
      <c r="AB1" s="135" t="s">
        <v>56</v>
      </c>
      <c r="AC1" s="135"/>
      <c r="AD1" s="135"/>
      <c r="AE1" s="135"/>
    </row>
    <row r="2" spans="1:32" ht="28.8" x14ac:dyDescent="0.55000000000000004">
      <c r="A2" s="1" t="s">
        <v>0</v>
      </c>
      <c r="B2" s="1" t="s">
        <v>132</v>
      </c>
      <c r="C2" s="1" t="s">
        <v>133</v>
      </c>
      <c r="D2" s="1" t="s">
        <v>134</v>
      </c>
      <c r="E2" s="1" t="s">
        <v>135</v>
      </c>
      <c r="F2" s="1" t="s">
        <v>136</v>
      </c>
      <c r="G2" s="1" t="s">
        <v>57</v>
      </c>
      <c r="H2" s="1" t="s">
        <v>58</v>
      </c>
      <c r="I2" s="1" t="s">
        <v>59</v>
      </c>
      <c r="J2" s="1" t="s">
        <v>60</v>
      </c>
      <c r="K2" s="2" t="s">
        <v>61</v>
      </c>
      <c r="L2" s="1" t="s">
        <v>62</v>
      </c>
      <c r="M2" s="1" t="s">
        <v>63</v>
      </c>
      <c r="N2" s="1" t="s">
        <v>64</v>
      </c>
      <c r="O2" s="2" t="s">
        <v>65</v>
      </c>
      <c r="P2" s="1" t="s">
        <v>66</v>
      </c>
      <c r="Q2" s="1" t="s">
        <v>67</v>
      </c>
      <c r="R2" s="1" t="s">
        <v>68</v>
      </c>
      <c r="S2" s="2" t="s">
        <v>69</v>
      </c>
      <c r="T2" s="1" t="s">
        <v>70</v>
      </c>
      <c r="U2" s="1" t="s">
        <v>71</v>
      </c>
      <c r="V2" s="1" t="s">
        <v>72</v>
      </c>
      <c r="W2" s="2" t="s">
        <v>73</v>
      </c>
      <c r="X2" s="1" t="s">
        <v>74</v>
      </c>
      <c r="Y2" s="1" t="s">
        <v>75</v>
      </c>
      <c r="Z2" s="1" t="s">
        <v>76</v>
      </c>
      <c r="AA2" s="2" t="s">
        <v>77</v>
      </c>
      <c r="AB2" s="1" t="s">
        <v>78</v>
      </c>
      <c r="AC2" s="1" t="s">
        <v>79</v>
      </c>
      <c r="AD2" s="1" t="s">
        <v>80</v>
      </c>
      <c r="AE2" s="1" t="s">
        <v>81</v>
      </c>
      <c r="AF2" s="1" t="s">
        <v>1535</v>
      </c>
    </row>
    <row r="3" spans="1:32" ht="72" x14ac:dyDescent="0.55000000000000004">
      <c r="A3" s="22">
        <v>1</v>
      </c>
      <c r="B3" s="22" t="s">
        <v>137</v>
      </c>
      <c r="C3" s="22" t="s">
        <v>138</v>
      </c>
      <c r="D3" s="22" t="s">
        <v>139</v>
      </c>
      <c r="E3" s="22" t="s">
        <v>140</v>
      </c>
      <c r="F3" s="22"/>
      <c r="G3" s="23" t="s">
        <v>1</v>
      </c>
      <c r="H3" s="6">
        <v>0</v>
      </c>
      <c r="I3" s="3">
        <v>0</v>
      </c>
      <c r="J3" s="3">
        <v>1</v>
      </c>
      <c r="K3" s="4">
        <v>0</v>
      </c>
      <c r="L3" s="3">
        <v>0</v>
      </c>
      <c r="M3" s="3">
        <v>0</v>
      </c>
      <c r="N3" s="3">
        <v>1</v>
      </c>
      <c r="O3" s="4">
        <v>0</v>
      </c>
      <c r="P3" s="3">
        <v>0</v>
      </c>
      <c r="Q3" s="3">
        <v>0</v>
      </c>
      <c r="R3" s="3">
        <v>0</v>
      </c>
      <c r="S3" s="4">
        <v>0</v>
      </c>
      <c r="T3" s="3">
        <v>0</v>
      </c>
      <c r="U3" s="3">
        <v>0</v>
      </c>
      <c r="V3" s="3">
        <f>1/3</f>
        <v>0.33333333333333331</v>
      </c>
      <c r="W3" s="4">
        <v>0</v>
      </c>
      <c r="X3" s="3">
        <v>1</v>
      </c>
      <c r="Y3" s="3">
        <v>0</v>
      </c>
      <c r="Z3" s="3">
        <v>1</v>
      </c>
      <c r="AA3" s="4">
        <f>1/2</f>
        <v>0.5</v>
      </c>
      <c r="AB3" s="3">
        <v>1</v>
      </c>
      <c r="AC3" s="3">
        <v>0</v>
      </c>
      <c r="AD3" s="3">
        <v>1</v>
      </c>
      <c r="AE3" s="3">
        <v>1</v>
      </c>
      <c r="AF3" s="3"/>
    </row>
    <row r="4" spans="1:32" ht="72" x14ac:dyDescent="0.55000000000000004">
      <c r="A4" s="22">
        <v>2</v>
      </c>
      <c r="B4" s="22" t="s">
        <v>137</v>
      </c>
      <c r="C4" s="22" t="s">
        <v>141</v>
      </c>
      <c r="D4" s="22" t="s">
        <v>142</v>
      </c>
      <c r="E4" s="22" t="s">
        <v>143</v>
      </c>
      <c r="F4" s="22"/>
      <c r="G4" s="23" t="s">
        <v>2</v>
      </c>
      <c r="H4" s="6">
        <v>0</v>
      </c>
      <c r="I4" s="3">
        <v>0</v>
      </c>
      <c r="J4" s="3">
        <f>1/2</f>
        <v>0.5</v>
      </c>
      <c r="K4" s="4">
        <f>1/3</f>
        <v>0.33333333333333331</v>
      </c>
      <c r="L4" s="3">
        <v>0</v>
      </c>
      <c r="M4" s="3">
        <v>0</v>
      </c>
      <c r="N4" s="3">
        <f>1/2</f>
        <v>0.5</v>
      </c>
      <c r="O4" s="4">
        <f>1/3</f>
        <v>0.33333333333333331</v>
      </c>
      <c r="P4" s="3">
        <v>0</v>
      </c>
      <c r="Q4" s="3">
        <v>0</v>
      </c>
      <c r="R4" s="3">
        <v>0</v>
      </c>
      <c r="S4" s="4">
        <v>0</v>
      </c>
      <c r="T4" s="3">
        <v>0</v>
      </c>
      <c r="U4" s="3">
        <v>0</v>
      </c>
      <c r="V4" s="3">
        <v>0</v>
      </c>
      <c r="W4" s="4">
        <v>0</v>
      </c>
      <c r="X4" s="3">
        <v>0</v>
      </c>
      <c r="Y4" s="3">
        <v>0</v>
      </c>
      <c r="Z4" s="3">
        <f>(2/2)/3</f>
        <v>0.33333333333333331</v>
      </c>
      <c r="AA4" s="4">
        <f>(2/3)/3</f>
        <v>0.22222222222222221</v>
      </c>
      <c r="AB4" s="3">
        <v>0</v>
      </c>
      <c r="AC4" s="3">
        <v>0</v>
      </c>
      <c r="AD4" s="3">
        <f>1/2</f>
        <v>0.5</v>
      </c>
      <c r="AE4" s="4">
        <f>(2/3)/3</f>
        <v>0.22222222222222221</v>
      </c>
      <c r="AF4" s="3"/>
    </row>
    <row r="5" spans="1:32" ht="115.2" x14ac:dyDescent="0.55000000000000004">
      <c r="A5" s="22">
        <v>3</v>
      </c>
      <c r="B5" s="22" t="s">
        <v>137</v>
      </c>
      <c r="C5" s="22" t="s">
        <v>144</v>
      </c>
      <c r="D5" s="22" t="s">
        <v>139</v>
      </c>
      <c r="E5" s="22" t="s">
        <v>145</v>
      </c>
      <c r="F5" s="22"/>
      <c r="G5" s="23" t="s">
        <v>3</v>
      </c>
      <c r="H5" s="6">
        <v>1</v>
      </c>
      <c r="I5" s="3">
        <v>0</v>
      </c>
      <c r="J5" s="3">
        <v>1</v>
      </c>
      <c r="K5" s="4">
        <v>1</v>
      </c>
      <c r="L5" s="3">
        <v>1</v>
      </c>
      <c r="M5" s="3">
        <v>0</v>
      </c>
      <c r="N5" s="3">
        <v>1</v>
      </c>
      <c r="O5" s="4">
        <v>1</v>
      </c>
      <c r="P5" s="3">
        <v>0</v>
      </c>
      <c r="Q5" s="3">
        <v>0</v>
      </c>
      <c r="R5" s="3">
        <v>0</v>
      </c>
      <c r="S5" s="4">
        <v>0</v>
      </c>
      <c r="T5" s="3">
        <v>0</v>
      </c>
      <c r="U5" s="3">
        <v>0</v>
      </c>
      <c r="V5" s="3">
        <v>1</v>
      </c>
      <c r="W5" s="4">
        <v>1</v>
      </c>
      <c r="X5" s="3">
        <v>1</v>
      </c>
      <c r="Y5" s="3">
        <v>0</v>
      </c>
      <c r="Z5" s="3">
        <v>1</v>
      </c>
      <c r="AA5" s="4">
        <v>1</v>
      </c>
      <c r="AB5" s="3">
        <v>1</v>
      </c>
      <c r="AC5" s="3">
        <f>2/3</f>
        <v>0.66666666666666663</v>
      </c>
      <c r="AD5" s="3">
        <v>1</v>
      </c>
      <c r="AE5" s="3">
        <v>1</v>
      </c>
      <c r="AF5" s="3"/>
    </row>
    <row r="6" spans="1:32" ht="86.4" x14ac:dyDescent="0.55000000000000004">
      <c r="A6" s="22">
        <v>4</v>
      </c>
      <c r="B6" s="22" t="s">
        <v>137</v>
      </c>
      <c r="C6" s="22" t="s">
        <v>146</v>
      </c>
      <c r="D6" s="22" t="s">
        <v>139</v>
      </c>
      <c r="E6" s="22" t="s">
        <v>145</v>
      </c>
      <c r="F6" s="22"/>
      <c r="G6" s="23" t="s">
        <v>4</v>
      </c>
      <c r="H6" s="6">
        <v>1</v>
      </c>
      <c r="I6" s="3">
        <v>0</v>
      </c>
      <c r="J6" s="3">
        <f>1.5/3</f>
        <v>0.5</v>
      </c>
      <c r="K6" s="4">
        <f>1.5/3</f>
        <v>0.5</v>
      </c>
      <c r="L6" s="3">
        <v>1</v>
      </c>
      <c r="M6" s="3">
        <v>0</v>
      </c>
      <c r="N6" s="3">
        <f>1.5/3</f>
        <v>0.5</v>
      </c>
      <c r="O6" s="4">
        <f>1.5/3</f>
        <v>0.5</v>
      </c>
      <c r="P6" s="3">
        <v>0</v>
      </c>
      <c r="Q6" s="3">
        <v>0</v>
      </c>
      <c r="R6" s="3">
        <v>0</v>
      </c>
      <c r="S6" s="4">
        <v>0</v>
      </c>
      <c r="T6" s="3">
        <v>0</v>
      </c>
      <c r="U6" s="3">
        <v>0</v>
      </c>
      <c r="V6" s="3">
        <v>0</v>
      </c>
      <c r="W6" s="4">
        <v>0</v>
      </c>
      <c r="X6" s="3">
        <v>0</v>
      </c>
      <c r="Y6" s="3">
        <v>0</v>
      </c>
      <c r="Z6" s="3">
        <v>0</v>
      </c>
      <c r="AA6" s="4">
        <v>0</v>
      </c>
      <c r="AB6" s="3">
        <v>0</v>
      </c>
      <c r="AC6" s="3">
        <v>0</v>
      </c>
      <c r="AD6" s="3">
        <v>0</v>
      </c>
      <c r="AE6" s="3">
        <v>0</v>
      </c>
      <c r="AF6" s="3"/>
    </row>
    <row r="7" spans="1:32" ht="57.6" x14ac:dyDescent="0.55000000000000004">
      <c r="A7" s="22">
        <v>5</v>
      </c>
      <c r="B7" s="22" t="s">
        <v>137</v>
      </c>
      <c r="C7" s="22" t="s">
        <v>147</v>
      </c>
      <c r="D7" s="22" t="s">
        <v>139</v>
      </c>
      <c r="E7" s="22" t="s">
        <v>145</v>
      </c>
      <c r="F7" s="22"/>
      <c r="G7" s="23" t="s">
        <v>5</v>
      </c>
      <c r="H7" s="6">
        <v>0</v>
      </c>
      <c r="I7" s="3">
        <v>0</v>
      </c>
      <c r="J7" s="3">
        <v>0</v>
      </c>
      <c r="K7" s="4">
        <v>0</v>
      </c>
      <c r="L7" s="3">
        <v>0</v>
      </c>
      <c r="M7" s="3">
        <v>0</v>
      </c>
      <c r="N7" s="3">
        <v>0</v>
      </c>
      <c r="O7" s="4">
        <v>0</v>
      </c>
      <c r="P7" s="3">
        <v>0</v>
      </c>
      <c r="Q7" s="3">
        <v>0</v>
      </c>
      <c r="R7" s="3">
        <v>0</v>
      </c>
      <c r="S7" s="4">
        <v>0</v>
      </c>
      <c r="T7" s="3">
        <v>0</v>
      </c>
      <c r="U7" s="3">
        <v>0</v>
      </c>
      <c r="V7" s="3">
        <v>0</v>
      </c>
      <c r="W7" s="4">
        <v>0</v>
      </c>
      <c r="X7" s="3">
        <v>0</v>
      </c>
      <c r="Y7" s="3">
        <v>0</v>
      </c>
      <c r="Z7" s="3">
        <f>2/3</f>
        <v>0.66666666666666663</v>
      </c>
      <c r="AA7" s="4">
        <f>(17/11)/3</f>
        <v>0.51515151515151514</v>
      </c>
      <c r="AB7" s="3">
        <v>0</v>
      </c>
      <c r="AC7" s="3">
        <v>0</v>
      </c>
      <c r="AD7" s="3">
        <f>1/3</f>
        <v>0.33333333333333331</v>
      </c>
      <c r="AE7" s="3">
        <f>(2/11)/3</f>
        <v>6.0606060606060608E-2</v>
      </c>
      <c r="AF7" s="3"/>
    </row>
    <row r="8" spans="1:32" ht="57.6" x14ac:dyDescent="0.55000000000000004">
      <c r="A8" s="22">
        <v>6</v>
      </c>
      <c r="B8" s="22" t="s">
        <v>137</v>
      </c>
      <c r="C8" s="22" t="s">
        <v>148</v>
      </c>
      <c r="D8" s="22" t="s">
        <v>139</v>
      </c>
      <c r="E8" s="22" t="s">
        <v>140</v>
      </c>
      <c r="F8" s="22"/>
      <c r="G8" s="23" t="s">
        <v>6</v>
      </c>
      <c r="H8" s="6">
        <v>0</v>
      </c>
      <c r="I8" s="3">
        <v>0</v>
      </c>
      <c r="J8" s="3">
        <v>0</v>
      </c>
      <c r="K8" s="4">
        <v>0</v>
      </c>
      <c r="L8" s="3">
        <v>0</v>
      </c>
      <c r="M8" s="3">
        <v>0</v>
      </c>
      <c r="N8" s="3">
        <v>0</v>
      </c>
      <c r="O8" s="4">
        <v>0</v>
      </c>
      <c r="P8" s="3">
        <v>0</v>
      </c>
      <c r="Q8" s="3">
        <v>0</v>
      </c>
      <c r="R8" s="3">
        <v>0</v>
      </c>
      <c r="S8" s="4">
        <v>0</v>
      </c>
      <c r="T8" s="3">
        <v>0</v>
      </c>
      <c r="U8" s="3">
        <v>0</v>
      </c>
      <c r="V8" s="3">
        <v>0</v>
      </c>
      <c r="W8" s="4">
        <v>0</v>
      </c>
      <c r="X8" s="3">
        <v>0</v>
      </c>
      <c r="Y8" s="3">
        <v>0</v>
      </c>
      <c r="Z8" s="3">
        <f>1/3</f>
        <v>0.33333333333333331</v>
      </c>
      <c r="AA8" s="4">
        <v>0</v>
      </c>
      <c r="AB8" s="3">
        <f>1/3</f>
        <v>0.33333333333333331</v>
      </c>
      <c r="AC8" s="3">
        <v>0</v>
      </c>
      <c r="AD8" s="3">
        <f>1/3</f>
        <v>0.33333333333333331</v>
      </c>
      <c r="AE8" s="3">
        <f>(1/4)/3</f>
        <v>8.3333333333333329E-2</v>
      </c>
      <c r="AF8" s="3"/>
    </row>
    <row r="9" spans="1:32" ht="144" x14ac:dyDescent="0.55000000000000004">
      <c r="A9" s="22">
        <v>7</v>
      </c>
      <c r="B9" s="22" t="s">
        <v>149</v>
      </c>
      <c r="C9" s="22" t="s">
        <v>150</v>
      </c>
      <c r="D9" s="22" t="s">
        <v>151</v>
      </c>
      <c r="E9" s="22" t="s">
        <v>151</v>
      </c>
      <c r="F9" s="22"/>
      <c r="G9" s="23" t="s">
        <v>7</v>
      </c>
      <c r="H9" s="6">
        <v>0</v>
      </c>
      <c r="I9" s="3">
        <v>0</v>
      </c>
      <c r="J9" s="3">
        <v>0</v>
      </c>
      <c r="K9" s="4">
        <v>0</v>
      </c>
      <c r="L9" s="3">
        <v>0</v>
      </c>
      <c r="M9" s="3">
        <v>0</v>
      </c>
      <c r="N9" s="3">
        <v>0</v>
      </c>
      <c r="O9" s="4">
        <v>0</v>
      </c>
      <c r="P9" s="3">
        <v>0</v>
      </c>
      <c r="Q9" s="3">
        <v>0</v>
      </c>
      <c r="R9" s="3">
        <v>0</v>
      </c>
      <c r="S9" s="4">
        <v>0</v>
      </c>
      <c r="T9" s="3">
        <v>0</v>
      </c>
      <c r="U9" s="3">
        <v>0</v>
      </c>
      <c r="V9" s="3">
        <v>0</v>
      </c>
      <c r="W9" s="4">
        <v>0</v>
      </c>
      <c r="X9" s="3">
        <v>0</v>
      </c>
      <c r="Y9" s="3">
        <v>0</v>
      </c>
      <c r="Z9" s="3">
        <v>0</v>
      </c>
      <c r="AA9" s="4">
        <v>0</v>
      </c>
      <c r="AB9" s="3">
        <f>1/3</f>
        <v>0.33333333333333331</v>
      </c>
      <c r="AC9" s="3">
        <v>0</v>
      </c>
      <c r="AD9" s="3">
        <v>0</v>
      </c>
      <c r="AE9" s="3">
        <v>0</v>
      </c>
      <c r="AF9" s="3"/>
    </row>
    <row r="10" spans="1:32" ht="86.4" x14ac:dyDescent="0.55000000000000004">
      <c r="A10" s="22">
        <v>8</v>
      </c>
      <c r="B10" s="34" t="s">
        <v>262</v>
      </c>
      <c r="C10" s="22" t="s">
        <v>271</v>
      </c>
      <c r="D10" s="22" t="s">
        <v>151</v>
      </c>
      <c r="E10" s="22" t="s">
        <v>241</v>
      </c>
      <c r="F10" s="22"/>
      <c r="G10" s="22" t="s">
        <v>272</v>
      </c>
      <c r="H10" s="6">
        <v>0</v>
      </c>
      <c r="I10" s="3">
        <v>0</v>
      </c>
      <c r="J10" s="3">
        <v>0</v>
      </c>
      <c r="K10" s="4">
        <v>0</v>
      </c>
      <c r="L10" s="3">
        <v>0</v>
      </c>
      <c r="M10" s="3">
        <v>0</v>
      </c>
      <c r="N10" s="3">
        <v>0</v>
      </c>
      <c r="O10" s="4">
        <v>0</v>
      </c>
      <c r="P10" s="3">
        <v>0</v>
      </c>
      <c r="Q10" s="3">
        <v>0</v>
      </c>
      <c r="R10" s="3">
        <v>0</v>
      </c>
      <c r="S10" s="4">
        <v>0</v>
      </c>
      <c r="T10" s="3">
        <v>0</v>
      </c>
      <c r="U10" s="3">
        <v>0</v>
      </c>
      <c r="V10" s="3">
        <v>0</v>
      </c>
      <c r="W10" s="4">
        <v>0</v>
      </c>
      <c r="X10" s="3">
        <v>0</v>
      </c>
      <c r="Y10" s="3">
        <v>0</v>
      </c>
      <c r="Z10" s="3">
        <v>0</v>
      </c>
      <c r="AA10" s="4">
        <v>0</v>
      </c>
      <c r="AB10" s="3">
        <v>0</v>
      </c>
      <c r="AC10" s="3">
        <v>0</v>
      </c>
      <c r="AD10" s="3">
        <v>0</v>
      </c>
      <c r="AE10" s="3">
        <v>0</v>
      </c>
      <c r="AF10" s="5">
        <v>0</v>
      </c>
    </row>
    <row r="11" spans="1:32" ht="72" x14ac:dyDescent="0.55000000000000004">
      <c r="A11" s="22">
        <v>9</v>
      </c>
      <c r="B11" s="22" t="s">
        <v>149</v>
      </c>
      <c r="C11" s="22" t="s">
        <v>153</v>
      </c>
      <c r="D11" s="22" t="s">
        <v>154</v>
      </c>
      <c r="E11" s="22" t="s">
        <v>155</v>
      </c>
      <c r="F11" s="22"/>
      <c r="G11" s="23" t="s">
        <v>9</v>
      </c>
      <c r="H11" s="6">
        <v>0</v>
      </c>
      <c r="I11" s="3">
        <v>0</v>
      </c>
      <c r="J11" s="3">
        <v>0</v>
      </c>
      <c r="K11" s="4">
        <v>0</v>
      </c>
      <c r="L11" s="5">
        <v>0</v>
      </c>
      <c r="M11" s="3">
        <v>0</v>
      </c>
      <c r="N11" s="3">
        <v>0</v>
      </c>
      <c r="O11" s="4">
        <v>0</v>
      </c>
      <c r="P11" s="3">
        <v>0</v>
      </c>
      <c r="Q11" s="3">
        <v>0</v>
      </c>
      <c r="R11" s="3">
        <v>1</v>
      </c>
      <c r="S11" s="4">
        <v>0</v>
      </c>
      <c r="T11" s="5">
        <v>0</v>
      </c>
      <c r="U11" s="3">
        <v>0</v>
      </c>
      <c r="V11" s="3">
        <v>0</v>
      </c>
      <c r="W11" s="4">
        <v>0</v>
      </c>
      <c r="X11" s="5">
        <v>0</v>
      </c>
      <c r="Y11" s="3">
        <v>0</v>
      </c>
      <c r="Z11" s="3">
        <v>0</v>
      </c>
      <c r="AA11" s="4">
        <v>0</v>
      </c>
      <c r="AB11" s="5">
        <v>0</v>
      </c>
      <c r="AC11" s="3">
        <v>0</v>
      </c>
      <c r="AD11" s="3">
        <v>0</v>
      </c>
      <c r="AE11" s="5">
        <v>0</v>
      </c>
      <c r="AF11" s="3"/>
    </row>
    <row r="12" spans="1:32" ht="72" x14ac:dyDescent="0.55000000000000004">
      <c r="A12" s="22">
        <v>10</v>
      </c>
      <c r="B12" s="22" t="s">
        <v>149</v>
      </c>
      <c r="C12" s="22" t="s">
        <v>156</v>
      </c>
      <c r="D12" s="22" t="s">
        <v>154</v>
      </c>
      <c r="E12" s="22" t="s">
        <v>157</v>
      </c>
      <c r="F12" s="22"/>
      <c r="G12" s="23" t="s">
        <v>10</v>
      </c>
      <c r="H12" s="6">
        <v>0</v>
      </c>
      <c r="I12" s="3">
        <v>0</v>
      </c>
      <c r="J12" s="3">
        <v>0</v>
      </c>
      <c r="K12" s="4">
        <v>0</v>
      </c>
      <c r="L12" s="3">
        <v>0</v>
      </c>
      <c r="M12" s="3">
        <v>0</v>
      </c>
      <c r="N12" s="3">
        <f>1/2</f>
        <v>0.5</v>
      </c>
      <c r="O12" s="4">
        <f>1/2</f>
        <v>0.5</v>
      </c>
      <c r="P12" s="3">
        <v>0</v>
      </c>
      <c r="Q12" s="3">
        <v>0</v>
      </c>
      <c r="R12" s="3">
        <v>0</v>
      </c>
      <c r="S12" s="4">
        <v>0</v>
      </c>
      <c r="T12" s="5">
        <v>0</v>
      </c>
      <c r="U12" s="3">
        <v>0</v>
      </c>
      <c r="V12" s="3">
        <v>0</v>
      </c>
      <c r="W12" s="4">
        <v>0</v>
      </c>
      <c r="X12" s="5">
        <v>0</v>
      </c>
      <c r="Y12" s="3">
        <v>0</v>
      </c>
      <c r="Z12" s="3">
        <v>0</v>
      </c>
      <c r="AA12" s="4">
        <v>0</v>
      </c>
      <c r="AB12" s="5">
        <v>0</v>
      </c>
      <c r="AC12" s="3">
        <v>0</v>
      </c>
      <c r="AD12" s="3">
        <v>0</v>
      </c>
      <c r="AE12" s="5">
        <v>0</v>
      </c>
      <c r="AF12" s="3"/>
    </row>
    <row r="13" spans="1:32" ht="86.4" x14ac:dyDescent="0.55000000000000004">
      <c r="A13" s="22">
        <v>11</v>
      </c>
      <c r="B13" s="22" t="s">
        <v>149</v>
      </c>
      <c r="C13" s="22" t="s">
        <v>158</v>
      </c>
      <c r="D13" s="22" t="s">
        <v>142</v>
      </c>
      <c r="E13" s="22" t="s">
        <v>159</v>
      </c>
      <c r="F13" s="22"/>
      <c r="G13" s="23" t="s">
        <v>11</v>
      </c>
      <c r="H13" s="6">
        <v>0</v>
      </c>
      <c r="I13" s="3">
        <v>0</v>
      </c>
      <c r="J13" s="3">
        <v>1</v>
      </c>
      <c r="K13" s="4">
        <v>0</v>
      </c>
      <c r="L13" s="3">
        <v>0</v>
      </c>
      <c r="M13" s="3">
        <v>0</v>
      </c>
      <c r="N13" s="3">
        <v>1</v>
      </c>
      <c r="O13" s="4">
        <v>1</v>
      </c>
      <c r="P13" s="3">
        <v>0</v>
      </c>
      <c r="Q13" s="3">
        <v>0</v>
      </c>
      <c r="R13" s="3">
        <f>1/3</f>
        <v>0.33333333333333331</v>
      </c>
      <c r="S13" s="4">
        <v>0</v>
      </c>
      <c r="T13" s="3">
        <v>0</v>
      </c>
      <c r="U13" s="3">
        <v>0</v>
      </c>
      <c r="V13" s="3">
        <v>0</v>
      </c>
      <c r="W13" s="4">
        <v>0</v>
      </c>
      <c r="X13" s="3">
        <v>0</v>
      </c>
      <c r="Y13" s="3">
        <v>0</v>
      </c>
      <c r="Z13" s="3">
        <v>0</v>
      </c>
      <c r="AA13" s="4">
        <v>0</v>
      </c>
      <c r="AB13" s="3">
        <v>0</v>
      </c>
      <c r="AC13" s="3">
        <v>0</v>
      </c>
      <c r="AD13" s="3">
        <v>0</v>
      </c>
      <c r="AE13" s="5">
        <v>0</v>
      </c>
      <c r="AF13" s="3"/>
    </row>
    <row r="14" spans="1:32" ht="57.6" x14ac:dyDescent="0.55000000000000004">
      <c r="A14" s="22">
        <v>12</v>
      </c>
      <c r="B14" s="22" t="s">
        <v>149</v>
      </c>
      <c r="C14" s="22" t="s">
        <v>160</v>
      </c>
      <c r="D14" s="22" t="s">
        <v>139</v>
      </c>
      <c r="E14" s="22" t="s">
        <v>161</v>
      </c>
      <c r="F14" s="22"/>
      <c r="G14" s="23" t="s">
        <v>12</v>
      </c>
      <c r="H14" s="6">
        <v>0</v>
      </c>
      <c r="I14" s="3">
        <v>0</v>
      </c>
      <c r="J14" s="3">
        <v>0</v>
      </c>
      <c r="K14" s="4">
        <v>0</v>
      </c>
      <c r="L14" s="5">
        <v>0</v>
      </c>
      <c r="M14" s="3">
        <v>0</v>
      </c>
      <c r="N14" s="3">
        <v>0</v>
      </c>
      <c r="O14" s="4">
        <v>0</v>
      </c>
      <c r="P14" s="3">
        <v>0</v>
      </c>
      <c r="Q14" s="3">
        <v>0</v>
      </c>
      <c r="R14" s="3">
        <v>1</v>
      </c>
      <c r="S14" s="4">
        <v>0</v>
      </c>
      <c r="T14" s="3">
        <v>0</v>
      </c>
      <c r="U14" s="3">
        <v>0</v>
      </c>
      <c r="V14" s="3">
        <f>1/3</f>
        <v>0.33333333333333331</v>
      </c>
      <c r="W14" s="4">
        <f>1/3</f>
        <v>0.33333333333333331</v>
      </c>
      <c r="X14" s="3">
        <v>0</v>
      </c>
      <c r="Y14" s="3">
        <v>0</v>
      </c>
      <c r="Z14" s="3">
        <v>0</v>
      </c>
      <c r="AA14" s="4">
        <v>0</v>
      </c>
      <c r="AB14" s="3">
        <v>0</v>
      </c>
      <c r="AC14" s="3">
        <v>0</v>
      </c>
      <c r="AD14" s="3">
        <v>0</v>
      </c>
      <c r="AE14" s="5">
        <v>0</v>
      </c>
      <c r="AF14" s="3"/>
    </row>
    <row r="15" spans="1:32" ht="72" x14ac:dyDescent="0.55000000000000004">
      <c r="A15" s="22">
        <v>13</v>
      </c>
      <c r="B15" s="22" t="s">
        <v>149</v>
      </c>
      <c r="C15" s="22" t="s">
        <v>162</v>
      </c>
      <c r="D15" s="22" t="s">
        <v>154</v>
      </c>
      <c r="E15" s="22" t="s">
        <v>155</v>
      </c>
      <c r="F15" s="22"/>
      <c r="G15" s="23" t="s">
        <v>13</v>
      </c>
      <c r="H15" s="6">
        <v>0</v>
      </c>
      <c r="I15" s="3">
        <v>0</v>
      </c>
      <c r="J15" s="3">
        <v>0</v>
      </c>
      <c r="K15" s="4">
        <v>0</v>
      </c>
      <c r="L15" s="5">
        <v>0</v>
      </c>
      <c r="M15" s="3">
        <v>0</v>
      </c>
      <c r="N15" s="3">
        <v>0</v>
      </c>
      <c r="O15" s="4">
        <v>0</v>
      </c>
      <c r="P15" s="5">
        <v>0</v>
      </c>
      <c r="Q15" s="3">
        <v>0</v>
      </c>
      <c r="R15" s="3">
        <v>0</v>
      </c>
      <c r="S15" s="4">
        <v>0</v>
      </c>
      <c r="T15" s="5">
        <v>0</v>
      </c>
      <c r="U15" s="3">
        <v>0</v>
      </c>
      <c r="V15" s="3">
        <v>0</v>
      </c>
      <c r="W15" s="4">
        <v>0</v>
      </c>
      <c r="X15" s="5">
        <v>0</v>
      </c>
      <c r="Y15" s="3">
        <v>0</v>
      </c>
      <c r="Z15" s="3">
        <v>0</v>
      </c>
      <c r="AA15" s="4">
        <v>0</v>
      </c>
      <c r="AB15" s="5">
        <v>0</v>
      </c>
      <c r="AC15" s="3">
        <v>0</v>
      </c>
      <c r="AD15" s="3">
        <v>0</v>
      </c>
      <c r="AE15" s="5">
        <v>0</v>
      </c>
      <c r="AF15" s="3"/>
    </row>
    <row r="16" spans="1:32" ht="100.8" x14ac:dyDescent="0.55000000000000004">
      <c r="A16" s="22">
        <v>14</v>
      </c>
      <c r="B16" s="22" t="s">
        <v>149</v>
      </c>
      <c r="C16" s="22" t="s">
        <v>163</v>
      </c>
      <c r="D16" s="22" t="s">
        <v>142</v>
      </c>
      <c r="E16" s="22" t="s">
        <v>159</v>
      </c>
      <c r="F16" s="22"/>
      <c r="G16" s="23" t="s">
        <v>14</v>
      </c>
      <c r="H16" s="6">
        <v>0</v>
      </c>
      <c r="I16" s="3">
        <v>0</v>
      </c>
      <c r="J16" s="3">
        <v>1</v>
      </c>
      <c r="K16" s="4">
        <v>0</v>
      </c>
      <c r="L16" s="5">
        <v>0</v>
      </c>
      <c r="M16" s="3">
        <v>0</v>
      </c>
      <c r="N16" s="3">
        <v>1</v>
      </c>
      <c r="O16" s="4">
        <v>0</v>
      </c>
      <c r="P16" s="5">
        <v>0</v>
      </c>
      <c r="Q16" s="3">
        <v>0</v>
      </c>
      <c r="R16" s="3">
        <f>1/3</f>
        <v>0.33333333333333331</v>
      </c>
      <c r="S16" s="4">
        <v>0</v>
      </c>
      <c r="T16" s="5">
        <v>0</v>
      </c>
      <c r="U16" s="3">
        <v>0</v>
      </c>
      <c r="V16" s="3">
        <v>0</v>
      </c>
      <c r="W16" s="4">
        <v>0</v>
      </c>
      <c r="X16" s="3">
        <v>0</v>
      </c>
      <c r="Y16" s="3">
        <v>0</v>
      </c>
      <c r="Z16" s="3">
        <v>1</v>
      </c>
      <c r="AA16" s="4">
        <v>0</v>
      </c>
      <c r="AB16" s="5">
        <v>0</v>
      </c>
      <c r="AC16" s="3">
        <v>0</v>
      </c>
      <c r="AD16" s="3">
        <v>0</v>
      </c>
      <c r="AE16" s="5">
        <v>0</v>
      </c>
      <c r="AF16" s="3"/>
    </row>
    <row r="17" spans="1:32" ht="86.4" x14ac:dyDescent="0.55000000000000004">
      <c r="A17" s="22">
        <v>15</v>
      </c>
      <c r="B17" s="22" t="s">
        <v>149</v>
      </c>
      <c r="C17" s="22" t="s">
        <v>164</v>
      </c>
      <c r="D17" s="22" t="s">
        <v>142</v>
      </c>
      <c r="E17" s="22" t="s">
        <v>143</v>
      </c>
      <c r="F17" s="22"/>
      <c r="G17" s="23" t="s">
        <v>15</v>
      </c>
      <c r="H17" s="6">
        <v>0</v>
      </c>
      <c r="I17" s="3">
        <v>0</v>
      </c>
      <c r="J17" s="3">
        <f>1/2</f>
        <v>0.5</v>
      </c>
      <c r="K17" s="4">
        <f>1/4</f>
        <v>0.25</v>
      </c>
      <c r="L17" s="3">
        <v>0</v>
      </c>
      <c r="M17" s="3">
        <v>0</v>
      </c>
      <c r="N17" s="3">
        <f>1/2</f>
        <v>0.5</v>
      </c>
      <c r="O17" s="4">
        <f>1/4</f>
        <v>0.25</v>
      </c>
      <c r="P17" s="3">
        <v>0</v>
      </c>
      <c r="Q17" s="3">
        <v>0</v>
      </c>
      <c r="R17" s="3">
        <v>0</v>
      </c>
      <c r="S17" s="4">
        <v>0</v>
      </c>
      <c r="T17" s="5">
        <v>0</v>
      </c>
      <c r="U17" s="3">
        <v>0</v>
      </c>
      <c r="V17" s="3">
        <v>0</v>
      </c>
      <c r="W17" s="4">
        <v>0</v>
      </c>
      <c r="X17" s="3">
        <v>0</v>
      </c>
      <c r="Y17" s="3">
        <v>0</v>
      </c>
      <c r="Z17" s="3">
        <f>1/2</f>
        <v>0.5</v>
      </c>
      <c r="AA17" s="4">
        <f>(4/7)/3</f>
        <v>0.19047619047619047</v>
      </c>
      <c r="AB17" s="3">
        <v>0</v>
      </c>
      <c r="AC17" s="3">
        <v>0</v>
      </c>
      <c r="AD17" s="3">
        <f>(1/2)/3</f>
        <v>0.16666666666666666</v>
      </c>
      <c r="AE17" s="3">
        <f>(1/7)/3</f>
        <v>4.7619047619047616E-2</v>
      </c>
      <c r="AF17" s="3"/>
    </row>
    <row r="18" spans="1:32" ht="57.6" x14ac:dyDescent="0.55000000000000004">
      <c r="A18" s="22">
        <v>16</v>
      </c>
      <c r="B18" s="22" t="s">
        <v>149</v>
      </c>
      <c r="C18" s="22" t="s">
        <v>165</v>
      </c>
      <c r="D18" s="22" t="s">
        <v>142</v>
      </c>
      <c r="E18" s="22" t="s">
        <v>143</v>
      </c>
      <c r="F18" s="22"/>
      <c r="G18" s="23" t="s">
        <v>16</v>
      </c>
      <c r="H18" s="6">
        <v>0</v>
      </c>
      <c r="I18" s="3">
        <v>0</v>
      </c>
      <c r="J18" s="3">
        <v>1</v>
      </c>
      <c r="K18" s="4">
        <v>0</v>
      </c>
      <c r="L18" s="5">
        <v>0</v>
      </c>
      <c r="M18" s="3">
        <v>0</v>
      </c>
      <c r="N18" s="3">
        <v>0</v>
      </c>
      <c r="O18" s="4">
        <v>0</v>
      </c>
      <c r="P18" s="5">
        <v>0</v>
      </c>
      <c r="Q18" s="3">
        <v>0</v>
      </c>
      <c r="R18" s="3">
        <v>0</v>
      </c>
      <c r="S18" s="4">
        <v>0</v>
      </c>
      <c r="T18" s="5">
        <v>0</v>
      </c>
      <c r="U18" s="3">
        <v>0</v>
      </c>
      <c r="V18" s="3">
        <v>0</v>
      </c>
      <c r="W18" s="4">
        <v>0</v>
      </c>
      <c r="X18" s="3">
        <v>0</v>
      </c>
      <c r="Y18" s="3">
        <v>0</v>
      </c>
      <c r="Z18" s="3">
        <v>1</v>
      </c>
      <c r="AA18" s="4">
        <v>0.5</v>
      </c>
      <c r="AB18" s="3">
        <v>0</v>
      </c>
      <c r="AC18" s="3">
        <v>0</v>
      </c>
      <c r="AD18" s="3">
        <v>1</v>
      </c>
      <c r="AE18" s="3">
        <f>1/2</f>
        <v>0.5</v>
      </c>
      <c r="AF18" s="3"/>
    </row>
    <row r="19" spans="1:32" ht="187.2" x14ac:dyDescent="0.55000000000000004">
      <c r="A19" s="22">
        <v>17</v>
      </c>
      <c r="B19" s="22" t="s">
        <v>166</v>
      </c>
      <c r="C19" s="22" t="s">
        <v>167</v>
      </c>
      <c r="D19" s="22" t="s">
        <v>142</v>
      </c>
      <c r="E19" s="22" t="s">
        <v>168</v>
      </c>
      <c r="F19" s="22"/>
      <c r="G19" s="23" t="s">
        <v>17</v>
      </c>
      <c r="H19" s="6">
        <v>0</v>
      </c>
      <c r="I19" s="3">
        <v>0</v>
      </c>
      <c r="J19" s="3">
        <f>(1/9)/3</f>
        <v>3.7037037037037035E-2</v>
      </c>
      <c r="K19" s="4">
        <v>0</v>
      </c>
      <c r="L19" s="3">
        <v>0</v>
      </c>
      <c r="M19" s="3">
        <v>0</v>
      </c>
      <c r="N19" s="3">
        <f>1/9</f>
        <v>0.1111111111111111</v>
      </c>
      <c r="O19" s="4">
        <v>0</v>
      </c>
      <c r="P19" s="3">
        <v>0</v>
      </c>
      <c r="Q19" s="3">
        <v>0</v>
      </c>
      <c r="R19" s="3">
        <f>(1/9)/3</f>
        <v>3.7037037037037035E-2</v>
      </c>
      <c r="S19" s="4">
        <v>0</v>
      </c>
      <c r="T19" s="3">
        <v>0</v>
      </c>
      <c r="U19" s="3">
        <v>0</v>
      </c>
      <c r="V19" s="3">
        <v>0</v>
      </c>
      <c r="W19" s="4">
        <v>0</v>
      </c>
      <c r="X19" s="3">
        <v>0</v>
      </c>
      <c r="Y19" s="3">
        <v>0</v>
      </c>
      <c r="Z19" s="3">
        <v>0</v>
      </c>
      <c r="AA19" s="4">
        <v>0</v>
      </c>
      <c r="AB19" s="3">
        <v>0</v>
      </c>
      <c r="AC19" s="3">
        <v>0</v>
      </c>
      <c r="AD19" s="3">
        <v>0</v>
      </c>
      <c r="AE19" s="3">
        <v>0</v>
      </c>
      <c r="AF19" s="3"/>
    </row>
    <row r="20" spans="1:32" ht="115.2" x14ac:dyDescent="0.55000000000000004">
      <c r="A20" s="22">
        <v>18</v>
      </c>
      <c r="B20" s="22" t="s">
        <v>166</v>
      </c>
      <c r="C20" s="22" t="s">
        <v>169</v>
      </c>
      <c r="D20" s="22" t="s">
        <v>154</v>
      </c>
      <c r="E20" s="22" t="s">
        <v>157</v>
      </c>
      <c r="F20" s="22"/>
      <c r="G20" s="23" t="s">
        <v>18</v>
      </c>
      <c r="H20" s="6">
        <v>0</v>
      </c>
      <c r="I20" s="3">
        <v>0</v>
      </c>
      <c r="J20" s="3">
        <f>1/31</f>
        <v>3.2258064516129031E-2</v>
      </c>
      <c r="K20" s="4">
        <f>(0.01+0.01)/3</f>
        <v>6.6666666666666671E-3</v>
      </c>
      <c r="L20" s="5">
        <v>0</v>
      </c>
      <c r="M20" s="3">
        <v>0</v>
      </c>
      <c r="N20" s="3">
        <f>1/31</f>
        <v>3.2258064516129031E-2</v>
      </c>
      <c r="O20" s="4">
        <f>(0.01+0.01)/3</f>
        <v>6.6666666666666671E-3</v>
      </c>
      <c r="P20" s="5">
        <v>0</v>
      </c>
      <c r="Q20" s="3">
        <v>0</v>
      </c>
      <c r="R20" s="3">
        <v>0</v>
      </c>
      <c r="S20" s="4">
        <v>0</v>
      </c>
      <c r="T20" s="5">
        <v>0</v>
      </c>
      <c r="U20" s="3">
        <v>0</v>
      </c>
      <c r="V20" s="3">
        <v>0</v>
      </c>
      <c r="W20" s="4">
        <v>0</v>
      </c>
      <c r="X20" s="5">
        <v>0</v>
      </c>
      <c r="Y20" s="3">
        <v>0</v>
      </c>
      <c r="Z20" s="3">
        <f>1/31</f>
        <v>3.2258064516129031E-2</v>
      </c>
      <c r="AA20" s="4">
        <f>(0.01*3)/3</f>
        <v>0.01</v>
      </c>
      <c r="AB20" s="3">
        <v>0</v>
      </c>
      <c r="AC20" s="3">
        <v>0</v>
      </c>
      <c r="AD20" s="3">
        <v>0</v>
      </c>
      <c r="AE20" s="3">
        <v>0</v>
      </c>
      <c r="AF20" s="3"/>
    </row>
    <row r="21" spans="1:32" ht="72" x14ac:dyDescent="0.55000000000000004">
      <c r="A21" s="22">
        <v>19</v>
      </c>
      <c r="B21" s="22" t="s">
        <v>166</v>
      </c>
      <c r="C21" s="22" t="s">
        <v>170</v>
      </c>
      <c r="D21" s="22" t="s">
        <v>171</v>
      </c>
      <c r="E21" s="22" t="s">
        <v>172</v>
      </c>
      <c r="F21" s="22"/>
      <c r="G21" s="23" t="s">
        <v>19</v>
      </c>
      <c r="H21" s="6">
        <v>0</v>
      </c>
      <c r="I21" s="3">
        <v>0</v>
      </c>
      <c r="J21" s="3">
        <f>(2/4)/3</f>
        <v>0.16666666666666666</v>
      </c>
      <c r="K21" s="4">
        <v>0</v>
      </c>
      <c r="L21" s="5">
        <v>0</v>
      </c>
      <c r="M21" s="3">
        <v>0</v>
      </c>
      <c r="N21" s="3">
        <f>1/4</f>
        <v>0.25</v>
      </c>
      <c r="O21" s="4">
        <f>1/17</f>
        <v>5.8823529411764705E-2</v>
      </c>
      <c r="P21" s="5">
        <v>0</v>
      </c>
      <c r="Q21" s="3">
        <v>0</v>
      </c>
      <c r="R21" s="3">
        <v>0</v>
      </c>
      <c r="S21" s="4">
        <v>0</v>
      </c>
      <c r="T21" s="5">
        <v>0</v>
      </c>
      <c r="U21" s="3">
        <v>0</v>
      </c>
      <c r="V21" s="3">
        <f>1/4</f>
        <v>0.25</v>
      </c>
      <c r="W21" s="4">
        <v>0</v>
      </c>
      <c r="X21" s="5">
        <v>0</v>
      </c>
      <c r="Y21" s="3">
        <v>0</v>
      </c>
      <c r="Z21" s="3">
        <f>1/4</f>
        <v>0.25</v>
      </c>
      <c r="AA21" s="4">
        <v>0</v>
      </c>
      <c r="AB21" s="5">
        <v>0</v>
      </c>
      <c r="AC21" s="3">
        <v>0</v>
      </c>
      <c r="AD21" s="3">
        <f>1/4</f>
        <v>0.25</v>
      </c>
      <c r="AE21" s="4">
        <f>(3/17)/3</f>
        <v>5.8823529411764712E-2</v>
      </c>
      <c r="AF21" s="3"/>
    </row>
    <row r="22" spans="1:32" ht="57.6" x14ac:dyDescent="0.55000000000000004">
      <c r="A22" s="22">
        <v>20</v>
      </c>
      <c r="B22" s="22" t="s">
        <v>166</v>
      </c>
      <c r="C22" s="22" t="s">
        <v>173</v>
      </c>
      <c r="D22" s="22" t="s">
        <v>171</v>
      </c>
      <c r="E22" s="22" t="s">
        <v>172</v>
      </c>
      <c r="F22" s="22"/>
      <c r="G22" s="23" t="s">
        <v>20</v>
      </c>
      <c r="H22" s="6">
        <v>0</v>
      </c>
      <c r="I22" s="3">
        <v>0</v>
      </c>
      <c r="J22" s="3">
        <f>1/4</f>
        <v>0.25</v>
      </c>
      <c r="K22" s="4">
        <f>(1/3)/3</f>
        <v>0.1111111111111111</v>
      </c>
      <c r="L22" s="3">
        <v>0</v>
      </c>
      <c r="M22" s="3">
        <v>0</v>
      </c>
      <c r="N22" s="3">
        <f>1/4</f>
        <v>0.25</v>
      </c>
      <c r="O22" s="4">
        <v>0</v>
      </c>
      <c r="P22" s="5">
        <v>0</v>
      </c>
      <c r="Q22" s="3">
        <v>0</v>
      </c>
      <c r="R22" s="3">
        <f>(1/4)/3</f>
        <v>8.3333333333333329E-2</v>
      </c>
      <c r="S22" s="4">
        <f>(1/3)/3</f>
        <v>0.1111111111111111</v>
      </c>
      <c r="T22" s="5">
        <v>0</v>
      </c>
      <c r="U22" s="3">
        <v>0</v>
      </c>
      <c r="V22" s="3">
        <f>1/4</f>
        <v>0.25</v>
      </c>
      <c r="W22" s="4">
        <f>(1/3)</f>
        <v>0.33333333333333331</v>
      </c>
      <c r="X22" s="5">
        <v>0</v>
      </c>
      <c r="Y22" s="3">
        <v>0</v>
      </c>
      <c r="Z22" s="3">
        <f>1/4</f>
        <v>0.25</v>
      </c>
      <c r="AA22" s="4">
        <f>(1/3)/3</f>
        <v>0.1111111111111111</v>
      </c>
      <c r="AB22" s="3">
        <v>0</v>
      </c>
      <c r="AC22" s="3">
        <v>0</v>
      </c>
      <c r="AD22" s="3">
        <f>1/4</f>
        <v>0.25</v>
      </c>
      <c r="AE22" s="3">
        <f>1/3</f>
        <v>0.33333333333333331</v>
      </c>
      <c r="AF22" s="3"/>
    </row>
    <row r="23" spans="1:32" ht="86.4" x14ac:dyDescent="0.55000000000000004">
      <c r="A23" s="22">
        <v>21</v>
      </c>
      <c r="B23" s="22" t="s">
        <v>174</v>
      </c>
      <c r="C23" s="22" t="s">
        <v>175</v>
      </c>
      <c r="D23" s="22" t="s">
        <v>171</v>
      </c>
      <c r="E23" s="22" t="s">
        <v>172</v>
      </c>
      <c r="F23" s="22"/>
      <c r="G23" s="23" t="s">
        <v>21</v>
      </c>
      <c r="H23" s="6">
        <v>0</v>
      </c>
      <c r="I23" s="3">
        <v>0</v>
      </c>
      <c r="J23" s="3">
        <v>0</v>
      </c>
      <c r="K23" s="4">
        <v>0</v>
      </c>
      <c r="L23" s="3">
        <v>0</v>
      </c>
      <c r="M23" s="3">
        <v>0</v>
      </c>
      <c r="N23" s="3">
        <v>0</v>
      </c>
      <c r="O23" s="4">
        <v>0</v>
      </c>
      <c r="P23" s="3">
        <v>0</v>
      </c>
      <c r="Q23" s="3">
        <v>0</v>
      </c>
      <c r="R23" s="3">
        <v>0</v>
      </c>
      <c r="S23" s="4">
        <v>0</v>
      </c>
      <c r="T23" s="3">
        <v>0</v>
      </c>
      <c r="U23" s="3">
        <v>0</v>
      </c>
      <c r="V23" s="3">
        <v>0</v>
      </c>
      <c r="W23" s="4">
        <v>0</v>
      </c>
      <c r="X23" s="3">
        <v>0</v>
      </c>
      <c r="Y23" s="3">
        <v>0</v>
      </c>
      <c r="Z23" s="3">
        <v>0</v>
      </c>
      <c r="AA23" s="4">
        <v>0</v>
      </c>
      <c r="AB23" s="3">
        <v>0</v>
      </c>
      <c r="AC23" s="3">
        <v>0</v>
      </c>
      <c r="AD23" s="3">
        <f>1/3</f>
        <v>0.33333333333333331</v>
      </c>
      <c r="AE23" s="3">
        <f>(1/3)/3</f>
        <v>0.1111111111111111</v>
      </c>
      <c r="AF23" s="3"/>
    </row>
    <row r="24" spans="1:32" ht="72" x14ac:dyDescent="0.55000000000000004">
      <c r="A24" s="22">
        <v>22</v>
      </c>
      <c r="B24" s="22" t="s">
        <v>174</v>
      </c>
      <c r="C24" s="22" t="s">
        <v>176</v>
      </c>
      <c r="D24" s="22" t="s">
        <v>142</v>
      </c>
      <c r="E24" s="22" t="s">
        <v>177</v>
      </c>
      <c r="F24" s="22"/>
      <c r="G24" s="23" t="s">
        <v>22</v>
      </c>
      <c r="H24" s="6">
        <v>0</v>
      </c>
      <c r="I24" s="3">
        <v>0</v>
      </c>
      <c r="J24" s="3">
        <v>0</v>
      </c>
      <c r="K24" s="4">
        <v>0</v>
      </c>
      <c r="L24" s="5">
        <v>0</v>
      </c>
      <c r="M24" s="3">
        <v>0</v>
      </c>
      <c r="N24" s="3">
        <v>0</v>
      </c>
      <c r="O24" s="4">
        <v>0</v>
      </c>
      <c r="P24" s="5">
        <v>0</v>
      </c>
      <c r="Q24" s="3">
        <v>0</v>
      </c>
      <c r="R24" s="3">
        <v>0</v>
      </c>
      <c r="S24" s="4">
        <v>0</v>
      </c>
      <c r="T24" s="5">
        <v>0</v>
      </c>
      <c r="U24" s="3">
        <v>0</v>
      </c>
      <c r="V24" s="3">
        <v>0</v>
      </c>
      <c r="W24" s="4">
        <v>0</v>
      </c>
      <c r="X24" s="5">
        <v>0</v>
      </c>
      <c r="Y24" s="3">
        <v>0</v>
      </c>
      <c r="Z24" s="3">
        <v>0</v>
      </c>
      <c r="AA24" s="4">
        <v>0</v>
      </c>
      <c r="AB24" s="5">
        <v>0</v>
      </c>
      <c r="AC24" s="3">
        <v>0</v>
      </c>
      <c r="AD24" s="3">
        <v>0</v>
      </c>
      <c r="AE24" s="4">
        <v>0</v>
      </c>
      <c r="AF24" s="3"/>
    </row>
    <row r="25" spans="1:32" ht="57.6" x14ac:dyDescent="0.55000000000000004">
      <c r="A25" s="22">
        <v>23</v>
      </c>
      <c r="B25" s="22" t="s">
        <v>174</v>
      </c>
      <c r="C25" s="22" t="s">
        <v>178</v>
      </c>
      <c r="D25" s="22" t="s">
        <v>171</v>
      </c>
      <c r="E25" s="22" t="s">
        <v>172</v>
      </c>
      <c r="F25" s="22"/>
      <c r="G25" s="23" t="s">
        <v>23</v>
      </c>
      <c r="H25" s="6">
        <v>0</v>
      </c>
      <c r="I25" s="3">
        <v>0</v>
      </c>
      <c r="J25" s="3">
        <v>0</v>
      </c>
      <c r="K25" s="4">
        <v>0</v>
      </c>
      <c r="L25" s="5">
        <v>0</v>
      </c>
      <c r="M25" s="3">
        <v>0</v>
      </c>
      <c r="N25" s="3">
        <v>0</v>
      </c>
      <c r="O25" s="4">
        <v>0</v>
      </c>
      <c r="P25" s="5">
        <v>0</v>
      </c>
      <c r="Q25" s="3">
        <v>0</v>
      </c>
      <c r="R25" s="3">
        <v>0</v>
      </c>
      <c r="S25" s="4">
        <v>0</v>
      </c>
      <c r="T25" s="3">
        <v>0</v>
      </c>
      <c r="U25" s="3">
        <v>0</v>
      </c>
      <c r="V25" s="3">
        <v>0</v>
      </c>
      <c r="W25" s="4">
        <v>0</v>
      </c>
      <c r="X25" s="3">
        <v>0</v>
      </c>
      <c r="Y25" s="3">
        <v>0</v>
      </c>
      <c r="Z25" s="3">
        <f>1/3</f>
        <v>0.33333333333333331</v>
      </c>
      <c r="AA25" s="4">
        <v>0</v>
      </c>
      <c r="AB25" s="3">
        <v>0</v>
      </c>
      <c r="AC25" s="3">
        <v>0</v>
      </c>
      <c r="AD25" s="3">
        <f>1/3</f>
        <v>0.33333333333333331</v>
      </c>
      <c r="AE25" s="3">
        <f>(1/3)/3</f>
        <v>0.1111111111111111</v>
      </c>
      <c r="AF25" s="3"/>
    </row>
    <row r="26" spans="1:32" ht="57.6" x14ac:dyDescent="0.55000000000000004">
      <c r="A26" s="22">
        <v>24</v>
      </c>
      <c r="B26" s="22" t="s">
        <v>179</v>
      </c>
      <c r="C26" s="22" t="s">
        <v>180</v>
      </c>
      <c r="D26" s="22" t="s">
        <v>139</v>
      </c>
      <c r="E26" s="22" t="s">
        <v>145</v>
      </c>
      <c r="F26" s="22"/>
      <c r="G26" s="23" t="s">
        <v>24</v>
      </c>
      <c r="H26" s="24">
        <v>0</v>
      </c>
      <c r="I26" s="25">
        <v>0</v>
      </c>
      <c r="J26" s="25">
        <v>1</v>
      </c>
      <c r="K26" s="26">
        <v>1</v>
      </c>
      <c r="L26" s="27">
        <v>0</v>
      </c>
      <c r="M26" s="25">
        <v>0</v>
      </c>
      <c r="N26" s="25">
        <v>1</v>
      </c>
      <c r="O26" s="26">
        <v>1</v>
      </c>
      <c r="P26" s="5">
        <v>0</v>
      </c>
      <c r="Q26" s="3">
        <v>0</v>
      </c>
      <c r="R26" s="3">
        <v>0</v>
      </c>
      <c r="S26" s="4">
        <v>0</v>
      </c>
      <c r="T26" s="3">
        <v>0</v>
      </c>
      <c r="U26" s="3">
        <v>0</v>
      </c>
      <c r="V26" s="3">
        <v>0</v>
      </c>
      <c r="W26" s="4">
        <v>0</v>
      </c>
      <c r="X26" s="3">
        <v>0</v>
      </c>
      <c r="Y26" s="3">
        <v>0</v>
      </c>
      <c r="Z26" s="3">
        <f>2/3</f>
        <v>0.66666666666666663</v>
      </c>
      <c r="AA26" s="4">
        <f>2/3</f>
        <v>0.66666666666666663</v>
      </c>
      <c r="AB26" s="27">
        <v>0</v>
      </c>
      <c r="AC26" s="25">
        <v>0</v>
      </c>
      <c r="AD26" s="25">
        <v>1</v>
      </c>
      <c r="AE26" s="26">
        <v>1</v>
      </c>
      <c r="AF26" s="3"/>
    </row>
    <row r="27" spans="1:32" ht="129.6" x14ac:dyDescent="0.55000000000000004">
      <c r="A27" s="22">
        <v>25</v>
      </c>
      <c r="B27" s="22" t="s">
        <v>179</v>
      </c>
      <c r="C27" s="22" t="s">
        <v>181</v>
      </c>
      <c r="D27" s="22" t="s">
        <v>151</v>
      </c>
      <c r="E27" s="22" t="s">
        <v>151</v>
      </c>
      <c r="F27" s="22"/>
      <c r="G27" s="23" t="s">
        <v>25</v>
      </c>
      <c r="H27" s="6">
        <f>1/3</f>
        <v>0.33333333333333331</v>
      </c>
      <c r="I27" s="3">
        <v>0</v>
      </c>
      <c r="J27" s="3">
        <v>1</v>
      </c>
      <c r="K27" s="4">
        <f>1/6</f>
        <v>0.16666666666666666</v>
      </c>
      <c r="L27" s="5">
        <v>1</v>
      </c>
      <c r="M27" s="3">
        <v>0</v>
      </c>
      <c r="N27" s="3">
        <v>1</v>
      </c>
      <c r="O27" s="4">
        <v>0</v>
      </c>
      <c r="P27" s="5">
        <v>0</v>
      </c>
      <c r="Q27" s="3">
        <v>0</v>
      </c>
      <c r="R27" s="3">
        <v>0</v>
      </c>
      <c r="S27" s="4">
        <v>0</v>
      </c>
      <c r="T27" s="5">
        <v>0</v>
      </c>
      <c r="U27" s="3">
        <v>0</v>
      </c>
      <c r="V27" s="3">
        <v>0</v>
      </c>
      <c r="W27" s="4">
        <v>0</v>
      </c>
      <c r="X27" s="3">
        <v>0</v>
      </c>
      <c r="Y27" s="3">
        <v>0</v>
      </c>
      <c r="Z27" s="3">
        <v>0</v>
      </c>
      <c r="AA27" s="4">
        <v>0</v>
      </c>
      <c r="AB27" s="3">
        <v>0</v>
      </c>
      <c r="AC27" s="3">
        <v>0</v>
      </c>
      <c r="AD27" s="3">
        <v>1</v>
      </c>
      <c r="AE27" s="4">
        <f>(3/6)/3</f>
        <v>0.16666666666666666</v>
      </c>
      <c r="AF27" s="3"/>
    </row>
    <row r="28" spans="1:32" ht="57.6" x14ac:dyDescent="0.55000000000000004">
      <c r="A28" s="22">
        <v>26</v>
      </c>
      <c r="B28" s="22" t="s">
        <v>179</v>
      </c>
      <c r="C28" s="22" t="s">
        <v>182</v>
      </c>
      <c r="D28" s="22" t="s">
        <v>139</v>
      </c>
      <c r="E28" s="22" t="s">
        <v>140</v>
      </c>
      <c r="F28" s="22"/>
      <c r="G28" s="23" t="s">
        <v>26</v>
      </c>
      <c r="H28" s="6">
        <f>2/3</f>
        <v>0.66666666666666663</v>
      </c>
      <c r="I28" s="3">
        <v>0</v>
      </c>
      <c r="J28" s="3">
        <f>1/7</f>
        <v>0.14285714285714285</v>
      </c>
      <c r="K28" s="4">
        <f>1/8</f>
        <v>0.125</v>
      </c>
      <c r="L28" s="5">
        <v>0</v>
      </c>
      <c r="M28" s="3">
        <v>0</v>
      </c>
      <c r="N28" s="3">
        <v>0</v>
      </c>
      <c r="O28" s="4">
        <v>0</v>
      </c>
      <c r="P28" s="5">
        <v>0</v>
      </c>
      <c r="Q28" s="3">
        <v>0</v>
      </c>
      <c r="R28" s="3">
        <v>0</v>
      </c>
      <c r="S28" s="4">
        <v>0</v>
      </c>
      <c r="T28" s="3">
        <v>0</v>
      </c>
      <c r="U28" s="3">
        <v>0</v>
      </c>
      <c r="V28" s="3">
        <v>0</v>
      </c>
      <c r="W28" s="4">
        <v>0</v>
      </c>
      <c r="X28" s="3">
        <v>0</v>
      </c>
      <c r="Y28" s="3">
        <v>0</v>
      </c>
      <c r="Z28" s="3">
        <v>0</v>
      </c>
      <c r="AA28" s="4">
        <v>0</v>
      </c>
      <c r="AB28" s="3">
        <v>1</v>
      </c>
      <c r="AC28" s="3">
        <v>0</v>
      </c>
      <c r="AD28" s="3">
        <f>1/7</f>
        <v>0.14285714285714285</v>
      </c>
      <c r="AE28" s="4">
        <f>1/7</f>
        <v>0.14285714285714285</v>
      </c>
      <c r="AF28" s="3"/>
    </row>
    <row r="29" spans="1:32" ht="72" x14ac:dyDescent="0.55000000000000004">
      <c r="A29" s="22">
        <v>27</v>
      </c>
      <c r="B29" s="22" t="s">
        <v>179</v>
      </c>
      <c r="C29" s="22" t="s">
        <v>183</v>
      </c>
      <c r="D29" s="22" t="s">
        <v>184</v>
      </c>
      <c r="E29" s="22" t="s">
        <v>185</v>
      </c>
      <c r="F29" s="22"/>
      <c r="G29" s="23" t="s">
        <v>27</v>
      </c>
      <c r="H29" s="6">
        <v>0</v>
      </c>
      <c r="I29" s="3">
        <v>0</v>
      </c>
      <c r="J29" s="3">
        <f>1/30</f>
        <v>3.3333333333333333E-2</v>
      </c>
      <c r="K29" s="4">
        <v>0</v>
      </c>
      <c r="L29" s="5">
        <v>0</v>
      </c>
      <c r="M29" s="3">
        <v>0</v>
      </c>
      <c r="N29" s="3">
        <f>1/30</f>
        <v>3.3333333333333333E-2</v>
      </c>
      <c r="O29" s="4">
        <v>0</v>
      </c>
      <c r="P29" s="5">
        <v>0</v>
      </c>
      <c r="Q29" s="3">
        <v>0</v>
      </c>
      <c r="R29" s="3">
        <f>1/30</f>
        <v>3.3333333333333333E-2</v>
      </c>
      <c r="S29" s="4">
        <v>0</v>
      </c>
      <c r="T29" s="5">
        <v>0</v>
      </c>
      <c r="U29" s="3">
        <v>0</v>
      </c>
      <c r="V29" s="3">
        <f>(1/30)/3</f>
        <v>1.1111111111111112E-2</v>
      </c>
      <c r="W29" s="4">
        <v>0</v>
      </c>
      <c r="X29" s="3">
        <v>0</v>
      </c>
      <c r="Y29" s="3">
        <v>0</v>
      </c>
      <c r="Z29" s="3">
        <v>0</v>
      </c>
      <c r="AA29" s="4">
        <v>0</v>
      </c>
      <c r="AB29" s="3">
        <v>0</v>
      </c>
      <c r="AC29" s="3">
        <v>0</v>
      </c>
      <c r="AD29" s="3">
        <f>(1/30)/3</f>
        <v>1.1111111111111112E-2</v>
      </c>
      <c r="AE29" s="4">
        <v>0</v>
      </c>
      <c r="AF29" s="3"/>
    </row>
    <row r="30" spans="1:32" ht="57.6" x14ac:dyDescent="0.55000000000000004">
      <c r="A30" s="22">
        <v>28</v>
      </c>
      <c r="B30" s="22" t="s">
        <v>179</v>
      </c>
      <c r="C30" s="22" t="s">
        <v>186</v>
      </c>
      <c r="D30" s="22" t="s">
        <v>139</v>
      </c>
      <c r="E30" s="22" t="s">
        <v>145</v>
      </c>
      <c r="F30" s="22"/>
      <c r="G30" s="23" t="s">
        <v>28</v>
      </c>
      <c r="H30" s="6">
        <v>0</v>
      </c>
      <c r="I30" s="3">
        <v>0</v>
      </c>
      <c r="J30" s="3">
        <v>1</v>
      </c>
      <c r="K30" s="4">
        <v>1</v>
      </c>
      <c r="L30" s="5">
        <v>1</v>
      </c>
      <c r="M30" s="3">
        <v>1</v>
      </c>
      <c r="N30" s="3">
        <v>1</v>
      </c>
      <c r="O30" s="4">
        <v>1</v>
      </c>
      <c r="P30" s="3">
        <v>0</v>
      </c>
      <c r="Q30" s="3">
        <v>0</v>
      </c>
      <c r="R30" s="3">
        <v>1</v>
      </c>
      <c r="S30" s="4">
        <v>1</v>
      </c>
      <c r="T30" s="3">
        <v>0</v>
      </c>
      <c r="U30" s="3">
        <v>0</v>
      </c>
      <c r="V30" s="3">
        <v>0</v>
      </c>
      <c r="W30" s="4">
        <v>0</v>
      </c>
      <c r="X30" s="3">
        <v>0</v>
      </c>
      <c r="Y30" s="3">
        <v>0</v>
      </c>
      <c r="Z30" s="3">
        <v>0</v>
      </c>
      <c r="AA30" s="4">
        <v>0</v>
      </c>
      <c r="AB30" s="3">
        <f>2/3</f>
        <v>0.66666666666666663</v>
      </c>
      <c r="AC30" s="3">
        <f>2/3</f>
        <v>0.66666666666666663</v>
      </c>
      <c r="AD30" s="3">
        <v>0.67</v>
      </c>
      <c r="AE30" s="3">
        <v>0.67</v>
      </c>
      <c r="AF30" s="3"/>
    </row>
    <row r="31" spans="1:32" ht="57.6" x14ac:dyDescent="0.55000000000000004">
      <c r="A31" s="22">
        <v>29</v>
      </c>
      <c r="B31" s="22" t="s">
        <v>179</v>
      </c>
      <c r="C31" s="22" t="s">
        <v>187</v>
      </c>
      <c r="D31" s="22" t="s">
        <v>171</v>
      </c>
      <c r="E31" s="22" t="s">
        <v>188</v>
      </c>
      <c r="F31" s="22"/>
      <c r="G31" s="23" t="s">
        <v>29</v>
      </c>
      <c r="H31" s="6">
        <v>0</v>
      </c>
      <c r="I31" s="3">
        <v>0</v>
      </c>
      <c r="J31" s="3">
        <f>1/2</f>
        <v>0.5</v>
      </c>
      <c r="K31" s="4">
        <f>1/3</f>
        <v>0.33333333333333331</v>
      </c>
      <c r="L31" s="3">
        <v>0</v>
      </c>
      <c r="M31" s="3">
        <v>0</v>
      </c>
      <c r="N31" s="3">
        <v>0</v>
      </c>
      <c r="O31" s="4">
        <v>0</v>
      </c>
      <c r="P31" s="3">
        <v>0</v>
      </c>
      <c r="Q31" s="3">
        <v>0</v>
      </c>
      <c r="R31" s="3">
        <v>0</v>
      </c>
      <c r="S31" s="4">
        <v>0</v>
      </c>
      <c r="T31" s="3">
        <v>0</v>
      </c>
      <c r="U31" s="3">
        <v>0</v>
      </c>
      <c r="V31" s="3">
        <v>0</v>
      </c>
      <c r="W31" s="4">
        <v>0</v>
      </c>
      <c r="X31" s="3">
        <v>0</v>
      </c>
      <c r="Y31" s="3">
        <v>0</v>
      </c>
      <c r="Z31" s="3">
        <v>0</v>
      </c>
      <c r="AA31" s="4">
        <v>0</v>
      </c>
      <c r="AB31" s="3">
        <v>0</v>
      </c>
      <c r="AC31" s="3">
        <v>0</v>
      </c>
      <c r="AD31" s="3">
        <v>0</v>
      </c>
      <c r="AE31" s="3">
        <v>0</v>
      </c>
      <c r="AF31" s="3"/>
    </row>
    <row r="32" spans="1:32" ht="57.6" x14ac:dyDescent="0.55000000000000004">
      <c r="A32" s="22">
        <v>30</v>
      </c>
      <c r="B32" s="22" t="s">
        <v>179</v>
      </c>
      <c r="C32" s="22" t="s">
        <v>189</v>
      </c>
      <c r="D32" s="22" t="s">
        <v>171</v>
      </c>
      <c r="E32" s="22" t="s">
        <v>172</v>
      </c>
      <c r="F32" s="22"/>
      <c r="G32" s="23" t="s">
        <v>30</v>
      </c>
      <c r="H32" s="6">
        <v>1</v>
      </c>
      <c r="I32" s="3">
        <v>0</v>
      </c>
      <c r="J32" s="3">
        <v>1</v>
      </c>
      <c r="K32" s="4">
        <v>1</v>
      </c>
      <c r="L32" s="3">
        <v>1</v>
      </c>
      <c r="M32" s="3">
        <v>0</v>
      </c>
      <c r="N32" s="3">
        <v>1</v>
      </c>
      <c r="O32" s="4">
        <v>1</v>
      </c>
      <c r="P32" s="3">
        <v>0</v>
      </c>
      <c r="Q32" s="3">
        <v>0</v>
      </c>
      <c r="R32" s="3">
        <v>0</v>
      </c>
      <c r="S32" s="4">
        <v>0</v>
      </c>
      <c r="T32" s="3">
        <v>0</v>
      </c>
      <c r="U32" s="3">
        <v>0</v>
      </c>
      <c r="V32" s="3">
        <v>0</v>
      </c>
      <c r="W32" s="4">
        <v>0</v>
      </c>
      <c r="X32" s="3">
        <v>1</v>
      </c>
      <c r="Y32" s="3">
        <v>0</v>
      </c>
      <c r="Z32" s="3">
        <v>1</v>
      </c>
      <c r="AA32" s="4">
        <v>1</v>
      </c>
      <c r="AB32" s="3">
        <v>1</v>
      </c>
      <c r="AC32" s="3">
        <v>0</v>
      </c>
      <c r="AD32" s="3">
        <v>1</v>
      </c>
      <c r="AE32" s="3">
        <v>1</v>
      </c>
      <c r="AF32" s="3"/>
    </row>
    <row r="33" spans="1:32" ht="57.6" x14ac:dyDescent="0.55000000000000004">
      <c r="A33" s="22">
        <v>31</v>
      </c>
      <c r="B33" s="22" t="s">
        <v>179</v>
      </c>
      <c r="C33" s="22" t="s">
        <v>190</v>
      </c>
      <c r="D33" s="22" t="s">
        <v>154</v>
      </c>
      <c r="E33" s="22" t="s">
        <v>155</v>
      </c>
      <c r="F33" s="22"/>
      <c r="G33" s="23" t="s">
        <v>31</v>
      </c>
      <c r="H33" s="6">
        <v>0</v>
      </c>
      <c r="I33" s="3">
        <v>0</v>
      </c>
      <c r="J33" s="3">
        <v>0</v>
      </c>
      <c r="K33" s="4">
        <v>0</v>
      </c>
      <c r="L33" s="3">
        <v>0</v>
      </c>
      <c r="M33" s="3">
        <v>0</v>
      </c>
      <c r="N33" s="3">
        <v>0</v>
      </c>
      <c r="O33" s="4">
        <v>0</v>
      </c>
      <c r="P33" s="3">
        <v>0</v>
      </c>
      <c r="Q33" s="3">
        <v>0</v>
      </c>
      <c r="R33" s="3">
        <v>1</v>
      </c>
      <c r="S33" s="4">
        <v>0</v>
      </c>
      <c r="T33" s="3">
        <v>0</v>
      </c>
      <c r="U33" s="3">
        <v>0</v>
      </c>
      <c r="V33" s="3">
        <v>0</v>
      </c>
      <c r="W33" s="4">
        <v>0</v>
      </c>
      <c r="X33" s="3">
        <v>0</v>
      </c>
      <c r="Y33" s="3">
        <v>0</v>
      </c>
      <c r="Z33" s="3">
        <v>0</v>
      </c>
      <c r="AA33" s="4">
        <v>0</v>
      </c>
      <c r="AB33" s="3">
        <v>0</v>
      </c>
      <c r="AC33" s="3">
        <v>0</v>
      </c>
      <c r="AD33" s="3">
        <v>0</v>
      </c>
      <c r="AE33" s="3">
        <v>0</v>
      </c>
      <c r="AF33" s="3"/>
    </row>
    <row r="34" spans="1:32" ht="57.6" x14ac:dyDescent="0.55000000000000004">
      <c r="A34" s="22">
        <v>32</v>
      </c>
      <c r="B34" s="22" t="s">
        <v>179</v>
      </c>
      <c r="C34" s="22" t="s">
        <v>191</v>
      </c>
      <c r="D34" s="22" t="s">
        <v>151</v>
      </c>
      <c r="E34" s="22" t="s">
        <v>151</v>
      </c>
      <c r="F34" s="22"/>
      <c r="G34" s="23" t="s">
        <v>32</v>
      </c>
      <c r="H34" s="6">
        <v>0</v>
      </c>
      <c r="I34" s="3">
        <v>0</v>
      </c>
      <c r="J34" s="3">
        <f>(5/4)/3</f>
        <v>0.41666666666666669</v>
      </c>
      <c r="K34" s="4">
        <v>0</v>
      </c>
      <c r="L34" s="3">
        <v>0</v>
      </c>
      <c r="M34" s="3">
        <v>0</v>
      </c>
      <c r="N34" s="3">
        <f>1/4</f>
        <v>0.25</v>
      </c>
      <c r="O34" s="4">
        <f>1/10</f>
        <v>0.1</v>
      </c>
      <c r="P34" s="3">
        <v>0</v>
      </c>
      <c r="Q34" s="3">
        <v>0</v>
      </c>
      <c r="R34" s="3">
        <v>0</v>
      </c>
      <c r="S34" s="4">
        <v>0</v>
      </c>
      <c r="T34" s="3">
        <v>0</v>
      </c>
      <c r="U34" s="3">
        <v>0</v>
      </c>
      <c r="V34" s="3">
        <v>0</v>
      </c>
      <c r="W34" s="4">
        <v>0</v>
      </c>
      <c r="X34" s="3">
        <v>0</v>
      </c>
      <c r="Y34" s="3">
        <v>0</v>
      </c>
      <c r="Z34" s="3">
        <v>0</v>
      </c>
      <c r="AA34" s="4">
        <v>0</v>
      </c>
      <c r="AB34" s="3">
        <v>0</v>
      </c>
      <c r="AC34" s="3">
        <v>0</v>
      </c>
      <c r="AD34" s="3">
        <f>(5/4)/3</f>
        <v>0.41666666666666669</v>
      </c>
      <c r="AE34" s="3">
        <f>(5/4)/3</f>
        <v>0.41666666666666669</v>
      </c>
      <c r="AF34" s="3"/>
    </row>
    <row r="35" spans="1:32" ht="72" x14ac:dyDescent="0.55000000000000004">
      <c r="A35" s="22">
        <v>33</v>
      </c>
      <c r="B35" s="22" t="s">
        <v>192</v>
      </c>
      <c r="C35" s="22" t="s">
        <v>193</v>
      </c>
      <c r="D35" s="22" t="s">
        <v>171</v>
      </c>
      <c r="E35" s="22" t="s">
        <v>188</v>
      </c>
      <c r="F35" s="22"/>
      <c r="G35" s="23" t="s">
        <v>33</v>
      </c>
      <c r="H35" s="6">
        <v>0</v>
      </c>
      <c r="I35" s="3">
        <v>0</v>
      </c>
      <c r="J35" s="3">
        <v>0</v>
      </c>
      <c r="K35" s="4">
        <v>0</v>
      </c>
      <c r="L35" s="5">
        <v>0</v>
      </c>
      <c r="M35" s="3">
        <v>0</v>
      </c>
      <c r="N35" s="3">
        <v>0</v>
      </c>
      <c r="O35" s="4">
        <v>0</v>
      </c>
      <c r="P35" s="5">
        <v>0</v>
      </c>
      <c r="Q35" s="3">
        <v>0</v>
      </c>
      <c r="R35" s="3">
        <v>0</v>
      </c>
      <c r="S35" s="4">
        <v>0</v>
      </c>
      <c r="T35" s="3">
        <v>0</v>
      </c>
      <c r="U35" s="3">
        <v>0</v>
      </c>
      <c r="V35" s="3">
        <v>0</v>
      </c>
      <c r="W35" s="4">
        <v>0</v>
      </c>
      <c r="X35" s="3">
        <v>0</v>
      </c>
      <c r="Y35" s="3">
        <v>0</v>
      </c>
      <c r="Z35" s="3">
        <v>0</v>
      </c>
      <c r="AA35" s="4">
        <v>0</v>
      </c>
      <c r="AB35" s="3">
        <v>0</v>
      </c>
      <c r="AC35" s="3">
        <v>0</v>
      </c>
      <c r="AD35" s="3">
        <v>0</v>
      </c>
      <c r="AE35" s="3">
        <v>0</v>
      </c>
      <c r="AF35" s="3"/>
    </row>
    <row r="36" spans="1:32" ht="72" x14ac:dyDescent="0.55000000000000004">
      <c r="A36" s="22">
        <v>34</v>
      </c>
      <c r="B36" s="22" t="s">
        <v>192</v>
      </c>
      <c r="C36" s="22" t="s">
        <v>194</v>
      </c>
      <c r="D36" s="22" t="s">
        <v>171</v>
      </c>
      <c r="E36" s="22" t="s">
        <v>188</v>
      </c>
      <c r="F36" s="22"/>
      <c r="G36" s="23" t="s">
        <v>34</v>
      </c>
      <c r="H36" s="6">
        <v>0</v>
      </c>
      <c r="I36" s="3">
        <v>0</v>
      </c>
      <c r="J36" s="3">
        <v>0</v>
      </c>
      <c r="K36" s="4">
        <v>0</v>
      </c>
      <c r="L36" s="5">
        <v>0</v>
      </c>
      <c r="M36" s="3">
        <v>0</v>
      </c>
      <c r="N36" s="3">
        <v>0</v>
      </c>
      <c r="O36" s="4">
        <v>0</v>
      </c>
      <c r="P36" s="5">
        <v>0</v>
      </c>
      <c r="Q36" s="3">
        <v>0</v>
      </c>
      <c r="R36" s="3">
        <f>(1/18)/3</f>
        <v>1.8518518518518517E-2</v>
      </c>
      <c r="S36" s="4">
        <v>0</v>
      </c>
      <c r="T36" s="3">
        <v>0</v>
      </c>
      <c r="U36" s="3">
        <v>0</v>
      </c>
      <c r="V36" s="3">
        <f>1/18</f>
        <v>5.5555555555555552E-2</v>
      </c>
      <c r="W36" s="4">
        <v>0</v>
      </c>
      <c r="X36" s="3">
        <v>0</v>
      </c>
      <c r="Y36" s="3">
        <v>0</v>
      </c>
      <c r="Z36" s="3">
        <v>0</v>
      </c>
      <c r="AA36" s="4">
        <v>0</v>
      </c>
      <c r="AB36" s="3">
        <v>0</v>
      </c>
      <c r="AC36" s="3">
        <v>0</v>
      </c>
      <c r="AD36" s="3">
        <v>0</v>
      </c>
      <c r="AE36" s="3">
        <v>0</v>
      </c>
      <c r="AF36" s="3"/>
    </row>
    <row r="37" spans="1:32" ht="86.4" x14ac:dyDescent="0.55000000000000004">
      <c r="A37" s="22">
        <v>35</v>
      </c>
      <c r="B37" s="22" t="s">
        <v>192</v>
      </c>
      <c r="C37" s="22" t="s">
        <v>195</v>
      </c>
      <c r="D37" s="22" t="s">
        <v>154</v>
      </c>
      <c r="E37" s="22" t="s">
        <v>196</v>
      </c>
      <c r="F37" s="22"/>
      <c r="G37" s="23" t="s">
        <v>35</v>
      </c>
      <c r="H37" s="6">
        <v>0</v>
      </c>
      <c r="I37" s="3">
        <v>0</v>
      </c>
      <c r="J37" s="3">
        <v>0</v>
      </c>
      <c r="K37" s="4">
        <v>0</v>
      </c>
      <c r="L37" s="5">
        <v>0</v>
      </c>
      <c r="M37" s="3">
        <v>0</v>
      </c>
      <c r="N37" s="3">
        <v>0</v>
      </c>
      <c r="O37" s="4">
        <v>0</v>
      </c>
      <c r="P37" s="5">
        <v>0</v>
      </c>
      <c r="Q37" s="3">
        <v>0</v>
      </c>
      <c r="R37" s="3">
        <v>0</v>
      </c>
      <c r="S37" s="4">
        <v>0</v>
      </c>
      <c r="T37" s="5">
        <v>0</v>
      </c>
      <c r="U37" s="3">
        <v>0</v>
      </c>
      <c r="V37" s="3">
        <f>(2/4)/3</f>
        <v>0.16666666666666666</v>
      </c>
      <c r="W37" s="4">
        <f>(2/4)/3</f>
        <v>0.16666666666666666</v>
      </c>
      <c r="X37" s="3">
        <v>0</v>
      </c>
      <c r="Y37" s="3">
        <v>0</v>
      </c>
      <c r="Z37" s="3">
        <v>0</v>
      </c>
      <c r="AA37" s="4">
        <v>0</v>
      </c>
      <c r="AB37" s="3">
        <v>0</v>
      </c>
      <c r="AC37" s="3">
        <v>0</v>
      </c>
      <c r="AD37" s="3">
        <v>0</v>
      </c>
      <c r="AE37" s="5">
        <v>0</v>
      </c>
      <c r="AF37" s="3"/>
    </row>
    <row r="38" spans="1:32" ht="72" x14ac:dyDescent="0.55000000000000004">
      <c r="A38" s="22">
        <v>36</v>
      </c>
      <c r="B38" s="22" t="s">
        <v>192</v>
      </c>
      <c r="C38" s="22" t="s">
        <v>197</v>
      </c>
      <c r="D38" s="22" t="s">
        <v>154</v>
      </c>
      <c r="E38" s="22" t="s">
        <v>120</v>
      </c>
      <c r="F38" s="22"/>
      <c r="G38" s="23" t="s">
        <v>36</v>
      </c>
      <c r="H38" s="6">
        <v>0</v>
      </c>
      <c r="I38" s="3">
        <v>0</v>
      </c>
      <c r="J38" s="3">
        <v>0</v>
      </c>
      <c r="K38" s="4">
        <v>0</v>
      </c>
      <c r="L38" s="5">
        <v>0</v>
      </c>
      <c r="M38" s="3">
        <v>0</v>
      </c>
      <c r="N38" s="3">
        <v>0</v>
      </c>
      <c r="O38" s="4">
        <v>0</v>
      </c>
      <c r="P38" s="5">
        <v>0</v>
      </c>
      <c r="Q38" s="3">
        <v>0</v>
      </c>
      <c r="R38" s="3">
        <v>0</v>
      </c>
      <c r="S38" s="4">
        <v>0</v>
      </c>
      <c r="T38" s="3">
        <v>0</v>
      </c>
      <c r="U38" s="3">
        <v>0</v>
      </c>
      <c r="V38" s="3">
        <f>(4/3)/3</f>
        <v>0.44444444444444442</v>
      </c>
      <c r="W38" s="4">
        <f>(2/3)/3</f>
        <v>0.22222222222222221</v>
      </c>
      <c r="X38" s="3">
        <v>0</v>
      </c>
      <c r="Y38" s="3">
        <v>0</v>
      </c>
      <c r="Z38" s="3">
        <v>0</v>
      </c>
      <c r="AA38" s="4">
        <v>0</v>
      </c>
      <c r="AB38" s="3">
        <v>0</v>
      </c>
      <c r="AC38" s="3">
        <v>0</v>
      </c>
      <c r="AD38" s="3">
        <v>0</v>
      </c>
      <c r="AE38" s="5">
        <v>0</v>
      </c>
      <c r="AF38" s="3"/>
    </row>
    <row r="39" spans="1:32" ht="72" x14ac:dyDescent="0.55000000000000004">
      <c r="A39" s="22">
        <v>37</v>
      </c>
      <c r="B39" s="22" t="s">
        <v>192</v>
      </c>
      <c r="C39" s="22" t="s">
        <v>198</v>
      </c>
      <c r="D39" s="22" t="s">
        <v>154</v>
      </c>
      <c r="E39" s="22" t="s">
        <v>196</v>
      </c>
      <c r="F39" s="22"/>
      <c r="G39" s="23" t="s">
        <v>37</v>
      </c>
      <c r="H39" s="5">
        <v>0</v>
      </c>
      <c r="I39" s="3">
        <v>0</v>
      </c>
      <c r="J39" s="3">
        <v>0</v>
      </c>
      <c r="K39" s="4">
        <v>0</v>
      </c>
      <c r="L39" s="5">
        <v>0</v>
      </c>
      <c r="M39" s="3">
        <v>0</v>
      </c>
      <c r="N39" s="3">
        <v>0</v>
      </c>
      <c r="O39" s="4">
        <v>0</v>
      </c>
      <c r="P39" s="5">
        <v>0</v>
      </c>
      <c r="Q39" s="3">
        <v>0</v>
      </c>
      <c r="R39" s="3">
        <v>0</v>
      </c>
      <c r="S39" s="4">
        <v>0</v>
      </c>
      <c r="T39" s="5">
        <v>0</v>
      </c>
      <c r="U39" s="3">
        <v>0</v>
      </c>
      <c r="V39" s="3">
        <f>1/3</f>
        <v>0.33333333333333331</v>
      </c>
      <c r="W39" s="4">
        <v>0</v>
      </c>
      <c r="X39" s="3">
        <v>0</v>
      </c>
      <c r="Y39" s="3">
        <v>0</v>
      </c>
      <c r="Z39" s="3">
        <v>0</v>
      </c>
      <c r="AA39" s="4">
        <v>0</v>
      </c>
      <c r="AB39" s="3">
        <v>0</v>
      </c>
      <c r="AC39" s="3">
        <v>0</v>
      </c>
      <c r="AD39" s="3">
        <v>0</v>
      </c>
      <c r="AE39" s="5">
        <v>0</v>
      </c>
      <c r="AF39" s="3"/>
    </row>
    <row r="40" spans="1:32" ht="72" x14ac:dyDescent="0.55000000000000004">
      <c r="A40" s="22">
        <v>38</v>
      </c>
      <c r="B40" s="22" t="s">
        <v>199</v>
      </c>
      <c r="C40" s="22" t="s">
        <v>200</v>
      </c>
      <c r="D40" s="22" t="s">
        <v>154</v>
      </c>
      <c r="E40" s="22" t="s">
        <v>201</v>
      </c>
      <c r="F40" s="22"/>
      <c r="G40" s="23" t="s">
        <v>38</v>
      </c>
      <c r="H40" s="6">
        <v>0</v>
      </c>
      <c r="I40" s="3">
        <v>0</v>
      </c>
      <c r="J40" s="3">
        <v>0</v>
      </c>
      <c r="K40" s="4">
        <v>0</v>
      </c>
      <c r="L40" s="5">
        <v>0</v>
      </c>
      <c r="M40" s="3">
        <v>0</v>
      </c>
      <c r="N40" s="3">
        <v>0</v>
      </c>
      <c r="O40" s="4">
        <v>0</v>
      </c>
      <c r="P40" s="5">
        <v>0</v>
      </c>
      <c r="Q40" s="3">
        <v>0</v>
      </c>
      <c r="R40" s="3">
        <v>0</v>
      </c>
      <c r="S40" s="4">
        <v>0</v>
      </c>
      <c r="T40" s="5">
        <v>0</v>
      </c>
      <c r="U40" s="3">
        <v>0</v>
      </c>
      <c r="V40" s="3">
        <v>0</v>
      </c>
      <c r="W40" s="4">
        <v>0</v>
      </c>
      <c r="X40" s="5">
        <v>0</v>
      </c>
      <c r="Y40" s="3">
        <v>0</v>
      </c>
      <c r="Z40" s="3">
        <v>0</v>
      </c>
      <c r="AA40" s="4">
        <v>0</v>
      </c>
      <c r="AB40" s="3">
        <v>0</v>
      </c>
      <c r="AC40" s="3">
        <v>0</v>
      </c>
      <c r="AD40" s="3">
        <v>1</v>
      </c>
      <c r="AE40" s="3">
        <f>2/3</f>
        <v>0.66666666666666663</v>
      </c>
      <c r="AF40" s="3"/>
    </row>
    <row r="41" spans="1:32" ht="72" x14ac:dyDescent="0.55000000000000004">
      <c r="A41" s="22">
        <v>39</v>
      </c>
      <c r="B41" s="22" t="s">
        <v>202</v>
      </c>
      <c r="C41" s="22" t="s">
        <v>203</v>
      </c>
      <c r="D41" s="22" t="s">
        <v>154</v>
      </c>
      <c r="E41" s="22" t="s">
        <v>120</v>
      </c>
      <c r="F41" s="22"/>
      <c r="G41" s="23" t="s">
        <v>39</v>
      </c>
      <c r="H41" s="6">
        <v>1</v>
      </c>
      <c r="I41" s="3">
        <f>2/3</f>
        <v>0.66666666666666663</v>
      </c>
      <c r="J41" s="3">
        <f>2/3</f>
        <v>0.66666666666666663</v>
      </c>
      <c r="K41" s="4">
        <f>2/3</f>
        <v>0.66666666666666663</v>
      </c>
      <c r="L41" s="5">
        <v>1</v>
      </c>
      <c r="M41" s="3">
        <v>1</v>
      </c>
      <c r="N41" s="3">
        <v>1</v>
      </c>
      <c r="O41" s="4">
        <v>1</v>
      </c>
      <c r="P41" s="5">
        <v>0</v>
      </c>
      <c r="Q41" s="3">
        <v>0</v>
      </c>
      <c r="R41" s="3">
        <f>1/3</f>
        <v>0.33333333333333331</v>
      </c>
      <c r="S41" s="4">
        <f>1/3</f>
        <v>0.33333333333333331</v>
      </c>
      <c r="T41" s="5">
        <v>0</v>
      </c>
      <c r="U41" s="3">
        <v>0</v>
      </c>
      <c r="V41" s="3">
        <v>0</v>
      </c>
      <c r="W41" s="4">
        <v>0</v>
      </c>
      <c r="X41" s="5">
        <f>2/3</f>
        <v>0.66666666666666663</v>
      </c>
      <c r="Y41" s="3">
        <f>2/3</f>
        <v>0.66666666666666663</v>
      </c>
      <c r="Z41" s="3">
        <v>0.67</v>
      </c>
      <c r="AA41" s="4">
        <v>0.67</v>
      </c>
      <c r="AB41" s="5">
        <v>0</v>
      </c>
      <c r="AC41" s="3">
        <v>0</v>
      </c>
      <c r="AD41" s="3">
        <v>0</v>
      </c>
      <c r="AE41" s="4">
        <v>0</v>
      </c>
      <c r="AF41" s="3"/>
    </row>
    <row r="42" spans="1:32" ht="72" x14ac:dyDescent="0.55000000000000004">
      <c r="A42" s="22">
        <v>40</v>
      </c>
      <c r="B42" s="22" t="s">
        <v>204</v>
      </c>
      <c r="C42" s="22" t="s">
        <v>205</v>
      </c>
      <c r="D42" s="22" t="s">
        <v>142</v>
      </c>
      <c r="E42" s="22" t="s">
        <v>177</v>
      </c>
      <c r="F42" s="22"/>
      <c r="G42" s="23" t="s">
        <v>40</v>
      </c>
      <c r="H42" s="6">
        <v>0</v>
      </c>
      <c r="I42" s="3">
        <v>0</v>
      </c>
      <c r="J42" s="3">
        <v>0</v>
      </c>
      <c r="K42" s="4">
        <v>0</v>
      </c>
      <c r="L42" s="5">
        <v>0</v>
      </c>
      <c r="M42" s="3">
        <v>0</v>
      </c>
      <c r="N42" s="3">
        <v>0.5</v>
      </c>
      <c r="O42" s="4">
        <v>0</v>
      </c>
      <c r="P42" s="3">
        <v>0</v>
      </c>
      <c r="Q42" s="3">
        <v>0</v>
      </c>
      <c r="R42" s="3">
        <v>0</v>
      </c>
      <c r="S42" s="4">
        <v>0</v>
      </c>
      <c r="T42" s="5">
        <v>0</v>
      </c>
      <c r="U42" s="3">
        <v>0</v>
      </c>
      <c r="V42" s="3">
        <v>0</v>
      </c>
      <c r="W42" s="4">
        <v>0</v>
      </c>
      <c r="X42" s="5">
        <v>0</v>
      </c>
      <c r="Y42" s="3">
        <v>0</v>
      </c>
      <c r="Z42" s="3">
        <v>1</v>
      </c>
      <c r="AA42" s="4">
        <v>1</v>
      </c>
      <c r="AB42" s="5">
        <v>0</v>
      </c>
      <c r="AC42" s="3">
        <v>0</v>
      </c>
      <c r="AD42" s="3">
        <v>1</v>
      </c>
      <c r="AE42" s="4">
        <v>1</v>
      </c>
      <c r="AF42" s="3"/>
    </row>
    <row r="43" spans="1:32" ht="100.8" x14ac:dyDescent="0.55000000000000004">
      <c r="A43" s="22">
        <v>41</v>
      </c>
      <c r="B43" s="22" t="s">
        <v>204</v>
      </c>
      <c r="C43" s="22" t="s">
        <v>206</v>
      </c>
      <c r="D43" s="22" t="s">
        <v>142</v>
      </c>
      <c r="E43" s="22" t="s">
        <v>177</v>
      </c>
      <c r="F43" s="22"/>
      <c r="G43" s="23" t="s">
        <v>41</v>
      </c>
      <c r="H43" s="6">
        <v>0</v>
      </c>
      <c r="I43" s="3">
        <v>0</v>
      </c>
      <c r="J43" s="3">
        <v>0</v>
      </c>
      <c r="K43" s="4">
        <v>0</v>
      </c>
      <c r="L43" s="3">
        <v>0</v>
      </c>
      <c r="M43" s="3">
        <v>0</v>
      </c>
      <c r="N43" s="3">
        <v>1</v>
      </c>
      <c r="O43" s="4">
        <v>1</v>
      </c>
      <c r="P43" s="3">
        <v>0</v>
      </c>
      <c r="Q43" s="3">
        <v>0</v>
      </c>
      <c r="R43" s="3">
        <v>0</v>
      </c>
      <c r="S43" s="4">
        <v>0</v>
      </c>
      <c r="T43" s="5">
        <v>0</v>
      </c>
      <c r="U43" s="3">
        <v>0</v>
      </c>
      <c r="V43" s="3">
        <v>0</v>
      </c>
      <c r="W43" s="4">
        <v>0</v>
      </c>
      <c r="X43" s="5">
        <v>0</v>
      </c>
      <c r="Y43" s="3">
        <v>0</v>
      </c>
      <c r="Z43" s="3">
        <v>1</v>
      </c>
      <c r="AA43" s="4">
        <v>1</v>
      </c>
      <c r="AB43" s="5">
        <v>0</v>
      </c>
      <c r="AC43" s="3">
        <v>0</v>
      </c>
      <c r="AD43" s="3">
        <v>1</v>
      </c>
      <c r="AE43" s="4">
        <v>1</v>
      </c>
      <c r="AF43" s="3"/>
    </row>
    <row r="44" spans="1:32" ht="57.6" x14ac:dyDescent="0.55000000000000004">
      <c r="A44" s="22">
        <v>42</v>
      </c>
      <c r="B44" s="22" t="s">
        <v>207</v>
      </c>
      <c r="C44" s="22" t="s">
        <v>208</v>
      </c>
      <c r="D44" s="22" t="s">
        <v>142</v>
      </c>
      <c r="E44" s="22" t="s">
        <v>168</v>
      </c>
      <c r="F44" s="22"/>
      <c r="G44" s="23" t="s">
        <v>42</v>
      </c>
      <c r="H44" s="6">
        <f>2/3</f>
        <v>0.66666666666666663</v>
      </c>
      <c r="I44" s="3">
        <f>2/3</f>
        <v>0.66666666666666663</v>
      </c>
      <c r="J44" s="3">
        <f>2/3</f>
        <v>0.66666666666666663</v>
      </c>
      <c r="K44" s="4">
        <v>0</v>
      </c>
      <c r="L44" s="3">
        <v>0</v>
      </c>
      <c r="M44" s="3">
        <v>0</v>
      </c>
      <c r="N44" s="3">
        <v>0</v>
      </c>
      <c r="O44" s="4">
        <v>0</v>
      </c>
      <c r="P44" s="5">
        <v>0</v>
      </c>
      <c r="Q44" s="3">
        <v>0</v>
      </c>
      <c r="R44" s="3">
        <v>0</v>
      </c>
      <c r="S44" s="4">
        <v>0</v>
      </c>
      <c r="T44" s="5">
        <v>0</v>
      </c>
      <c r="U44" s="3">
        <v>0</v>
      </c>
      <c r="V44" s="3">
        <v>0</v>
      </c>
      <c r="W44" s="4">
        <v>0</v>
      </c>
      <c r="X44" s="5">
        <v>0</v>
      </c>
      <c r="Y44" s="3">
        <v>0</v>
      </c>
      <c r="Z44" s="3">
        <v>0</v>
      </c>
      <c r="AA44" s="4">
        <v>0</v>
      </c>
      <c r="AB44" s="3">
        <v>1</v>
      </c>
      <c r="AC44" s="3">
        <v>1</v>
      </c>
      <c r="AD44" s="3">
        <v>0</v>
      </c>
      <c r="AE44" s="4">
        <v>0</v>
      </c>
      <c r="AF44" s="3"/>
    </row>
    <row r="45" spans="1:32" ht="72" x14ac:dyDescent="0.55000000000000004">
      <c r="A45" s="22">
        <v>43</v>
      </c>
      <c r="B45" s="22" t="s">
        <v>207</v>
      </c>
      <c r="C45" s="22" t="s">
        <v>209</v>
      </c>
      <c r="D45" s="22" t="s">
        <v>142</v>
      </c>
      <c r="E45" s="22" t="s">
        <v>168</v>
      </c>
      <c r="F45" s="22"/>
      <c r="G45" s="23" t="s">
        <v>43</v>
      </c>
      <c r="H45" s="6">
        <f>1/3</f>
        <v>0.33333333333333331</v>
      </c>
      <c r="I45" s="3">
        <f>1/3</f>
        <v>0.33333333333333331</v>
      </c>
      <c r="J45" s="3">
        <f>1/3</f>
        <v>0.33333333333333331</v>
      </c>
      <c r="K45" s="4">
        <v>0</v>
      </c>
      <c r="L45" s="5">
        <v>0</v>
      </c>
      <c r="M45" s="3">
        <v>0</v>
      </c>
      <c r="N45" s="3">
        <v>0</v>
      </c>
      <c r="O45" s="4">
        <v>0</v>
      </c>
      <c r="P45" s="3">
        <f>1/3</f>
        <v>0.33333333333333331</v>
      </c>
      <c r="Q45" s="3">
        <f>1/3</f>
        <v>0.33333333333333331</v>
      </c>
      <c r="R45" s="3">
        <v>0.33</v>
      </c>
      <c r="S45" s="4">
        <v>0.33</v>
      </c>
      <c r="T45" s="3">
        <v>1</v>
      </c>
      <c r="U45" s="3">
        <v>1</v>
      </c>
      <c r="V45" s="3">
        <v>1</v>
      </c>
      <c r="W45" s="4">
        <v>1</v>
      </c>
      <c r="X45" s="3">
        <v>0</v>
      </c>
      <c r="Y45" s="3">
        <v>0</v>
      </c>
      <c r="Z45" s="3">
        <v>0</v>
      </c>
      <c r="AA45" s="4">
        <v>0</v>
      </c>
      <c r="AB45" s="3">
        <v>0</v>
      </c>
      <c r="AC45" s="3">
        <v>0</v>
      </c>
      <c r="AD45" s="3">
        <v>0</v>
      </c>
      <c r="AE45" s="4">
        <v>0</v>
      </c>
      <c r="AF45" s="3"/>
    </row>
    <row r="46" spans="1:32" ht="86.4" x14ac:dyDescent="0.55000000000000004">
      <c r="A46" s="22">
        <v>44</v>
      </c>
      <c r="B46" s="22" t="s">
        <v>207</v>
      </c>
      <c r="C46" s="22" t="s">
        <v>210</v>
      </c>
      <c r="D46" s="22" t="s">
        <v>154</v>
      </c>
      <c r="E46" s="22" t="s">
        <v>155</v>
      </c>
      <c r="F46" s="22"/>
      <c r="G46" s="23" t="s">
        <v>44</v>
      </c>
      <c r="H46" s="6">
        <v>0</v>
      </c>
      <c r="I46" s="3">
        <v>0</v>
      </c>
      <c r="J46" s="3">
        <v>0</v>
      </c>
      <c r="K46" s="4">
        <v>0</v>
      </c>
      <c r="L46" s="5">
        <v>0</v>
      </c>
      <c r="M46" s="3">
        <v>0</v>
      </c>
      <c r="N46" s="3">
        <v>0</v>
      </c>
      <c r="O46" s="4">
        <v>0</v>
      </c>
      <c r="P46" s="5">
        <v>0</v>
      </c>
      <c r="Q46" s="3">
        <v>0</v>
      </c>
      <c r="R46" s="3">
        <v>0</v>
      </c>
      <c r="S46" s="4">
        <v>0</v>
      </c>
      <c r="T46" s="5">
        <v>0</v>
      </c>
      <c r="U46" s="3">
        <v>0</v>
      </c>
      <c r="V46" s="3">
        <v>0</v>
      </c>
      <c r="W46" s="4">
        <v>0</v>
      </c>
      <c r="X46" s="5">
        <v>0</v>
      </c>
      <c r="Y46" s="3">
        <v>0</v>
      </c>
      <c r="Z46" s="3">
        <v>0</v>
      </c>
      <c r="AA46" s="4">
        <v>0</v>
      </c>
      <c r="AB46" s="5">
        <v>0</v>
      </c>
      <c r="AC46" s="3">
        <v>0</v>
      </c>
      <c r="AD46" s="3">
        <v>0</v>
      </c>
      <c r="AE46" s="4">
        <v>0</v>
      </c>
      <c r="AF46" s="3"/>
    </row>
    <row r="47" spans="1:32" ht="72" x14ac:dyDescent="0.55000000000000004">
      <c r="A47" s="22">
        <v>45</v>
      </c>
      <c r="B47" s="22" t="s">
        <v>211</v>
      </c>
      <c r="C47" s="22" t="s">
        <v>212</v>
      </c>
      <c r="D47" s="22" t="s">
        <v>151</v>
      </c>
      <c r="E47" s="22" t="s">
        <v>151</v>
      </c>
      <c r="F47" s="22"/>
      <c r="G47" s="23" t="s">
        <v>45</v>
      </c>
      <c r="H47" s="6">
        <v>0</v>
      </c>
      <c r="I47" s="3">
        <v>0</v>
      </c>
      <c r="J47" s="3">
        <f>(2/4)/3</f>
        <v>0.16666666666666666</v>
      </c>
      <c r="K47" s="4">
        <v>0</v>
      </c>
      <c r="L47" s="5">
        <v>0</v>
      </c>
      <c r="M47" s="3">
        <v>0</v>
      </c>
      <c r="N47" s="3">
        <f>1/4</f>
        <v>0.25</v>
      </c>
      <c r="O47" s="4">
        <v>0</v>
      </c>
      <c r="P47" s="5">
        <v>0</v>
      </c>
      <c r="Q47" s="3">
        <v>0</v>
      </c>
      <c r="R47" s="3">
        <v>0</v>
      </c>
      <c r="S47" s="4">
        <v>0</v>
      </c>
      <c r="T47" s="5">
        <v>0</v>
      </c>
      <c r="U47" s="3">
        <v>0</v>
      </c>
      <c r="V47" s="3">
        <f>1/4</f>
        <v>0.25</v>
      </c>
      <c r="W47" s="4">
        <v>0</v>
      </c>
      <c r="X47" s="3">
        <v>0</v>
      </c>
      <c r="Y47" s="3">
        <v>0</v>
      </c>
      <c r="Z47" s="3">
        <v>0</v>
      </c>
      <c r="AA47" s="4">
        <v>0</v>
      </c>
      <c r="AB47" s="5">
        <v>0</v>
      </c>
      <c r="AC47" s="3">
        <v>0</v>
      </c>
      <c r="AD47" s="3">
        <f>(2/4)/3</f>
        <v>0.16666666666666666</v>
      </c>
      <c r="AE47" s="4">
        <v>0</v>
      </c>
      <c r="AF47" s="3"/>
    </row>
    <row r="48" spans="1:32" ht="72" x14ac:dyDescent="0.55000000000000004">
      <c r="A48" s="22">
        <v>46</v>
      </c>
      <c r="B48" s="22" t="s">
        <v>213</v>
      </c>
      <c r="C48" s="22" t="s">
        <v>214</v>
      </c>
      <c r="D48" s="22" t="s">
        <v>139</v>
      </c>
      <c r="E48" s="22" t="s">
        <v>140</v>
      </c>
      <c r="F48" s="22"/>
      <c r="G48" s="23" t="s">
        <v>46</v>
      </c>
      <c r="H48" s="6">
        <v>0</v>
      </c>
      <c r="I48" s="3">
        <v>0</v>
      </c>
      <c r="J48" s="3">
        <v>0</v>
      </c>
      <c r="K48" s="4">
        <v>0</v>
      </c>
      <c r="L48" s="5">
        <v>0</v>
      </c>
      <c r="M48" s="3">
        <v>0</v>
      </c>
      <c r="N48" s="3">
        <v>0</v>
      </c>
      <c r="O48" s="4">
        <v>0</v>
      </c>
      <c r="P48" s="5">
        <v>0</v>
      </c>
      <c r="Q48" s="3">
        <v>0</v>
      </c>
      <c r="R48" s="3">
        <v>0</v>
      </c>
      <c r="S48" s="4">
        <v>0</v>
      </c>
      <c r="T48" s="5">
        <v>0</v>
      </c>
      <c r="U48" s="3">
        <v>0</v>
      </c>
      <c r="V48" s="3">
        <f>1/3</f>
        <v>0.33333333333333331</v>
      </c>
      <c r="W48" s="4">
        <f>1/3</f>
        <v>0.33333333333333331</v>
      </c>
      <c r="X48" s="3">
        <v>0</v>
      </c>
      <c r="Y48" s="3">
        <v>0</v>
      </c>
      <c r="Z48" s="3">
        <v>0</v>
      </c>
      <c r="AA48" s="4">
        <v>0</v>
      </c>
      <c r="AB48" s="3">
        <v>0</v>
      </c>
      <c r="AC48" s="3">
        <v>0</v>
      </c>
      <c r="AD48" s="3">
        <v>0</v>
      </c>
      <c r="AE48" s="3">
        <v>0</v>
      </c>
      <c r="AF48" s="3"/>
    </row>
    <row r="49" spans="1:32" ht="72" x14ac:dyDescent="0.55000000000000004">
      <c r="A49" s="22">
        <v>47</v>
      </c>
      <c r="B49" s="22" t="s">
        <v>215</v>
      </c>
      <c r="C49" s="22" t="s">
        <v>216</v>
      </c>
      <c r="D49" s="22" t="s">
        <v>139</v>
      </c>
      <c r="E49" s="22" t="s">
        <v>145</v>
      </c>
      <c r="F49" s="22"/>
      <c r="G49" s="23" t="s">
        <v>47</v>
      </c>
      <c r="H49" s="6">
        <v>0</v>
      </c>
      <c r="I49" s="3">
        <v>0</v>
      </c>
      <c r="J49" s="3">
        <v>0</v>
      </c>
      <c r="K49" s="4">
        <v>0</v>
      </c>
      <c r="L49" s="5">
        <v>0</v>
      </c>
      <c r="M49" s="3">
        <v>0</v>
      </c>
      <c r="N49" s="3">
        <v>0</v>
      </c>
      <c r="O49" s="4">
        <v>0</v>
      </c>
      <c r="P49" s="5">
        <v>0</v>
      </c>
      <c r="Q49" s="3">
        <v>0</v>
      </c>
      <c r="R49" s="3">
        <v>0</v>
      </c>
      <c r="S49" s="4">
        <v>0</v>
      </c>
      <c r="T49" s="5">
        <v>0</v>
      </c>
      <c r="U49" s="3">
        <v>0</v>
      </c>
      <c r="V49" s="3">
        <v>0</v>
      </c>
      <c r="W49" s="4">
        <v>0</v>
      </c>
      <c r="X49" s="5">
        <v>0</v>
      </c>
      <c r="Y49" s="3">
        <v>0</v>
      </c>
      <c r="Z49" s="3">
        <v>0</v>
      </c>
      <c r="AA49" s="4">
        <v>0</v>
      </c>
      <c r="AB49" s="5">
        <v>0</v>
      </c>
      <c r="AC49" s="3">
        <v>0</v>
      </c>
      <c r="AD49" s="3">
        <v>0</v>
      </c>
      <c r="AE49" s="5">
        <v>0</v>
      </c>
      <c r="AF49" s="3"/>
    </row>
    <row r="50" spans="1:32" ht="72" x14ac:dyDescent="0.55000000000000004">
      <c r="A50" s="22">
        <v>48</v>
      </c>
      <c r="B50" s="22" t="s">
        <v>217</v>
      </c>
      <c r="C50" s="22" t="s">
        <v>218</v>
      </c>
      <c r="D50" s="22" t="s">
        <v>139</v>
      </c>
      <c r="E50" s="22" t="s">
        <v>161</v>
      </c>
      <c r="F50" s="22"/>
      <c r="G50" s="23" t="s">
        <v>48</v>
      </c>
      <c r="H50" s="6">
        <v>0</v>
      </c>
      <c r="I50" s="3">
        <v>0</v>
      </c>
      <c r="J50" s="3">
        <v>0</v>
      </c>
      <c r="K50" s="4">
        <v>0</v>
      </c>
      <c r="L50" s="5">
        <v>0</v>
      </c>
      <c r="M50" s="3">
        <v>0</v>
      </c>
      <c r="N50" s="3">
        <v>0</v>
      </c>
      <c r="O50" s="4">
        <v>0</v>
      </c>
      <c r="P50" s="3">
        <v>0</v>
      </c>
      <c r="Q50" s="3">
        <v>0</v>
      </c>
      <c r="R50" s="3">
        <f>1/3</f>
        <v>0.33333333333333331</v>
      </c>
      <c r="S50" s="4">
        <f>1/3</f>
        <v>0.33333333333333331</v>
      </c>
      <c r="T50" s="5">
        <v>0</v>
      </c>
      <c r="U50" s="3">
        <v>0</v>
      </c>
      <c r="V50" s="3">
        <v>0</v>
      </c>
      <c r="W50" s="4">
        <v>0</v>
      </c>
      <c r="X50" s="5">
        <v>0</v>
      </c>
      <c r="Y50" s="3">
        <v>0</v>
      </c>
      <c r="Z50" s="3">
        <v>0</v>
      </c>
      <c r="AA50" s="4">
        <v>0</v>
      </c>
      <c r="AB50" s="5">
        <v>0</v>
      </c>
      <c r="AC50" s="3">
        <v>0</v>
      </c>
      <c r="AD50" s="3">
        <v>0</v>
      </c>
      <c r="AE50" s="4">
        <v>0</v>
      </c>
      <c r="AF50" s="3"/>
    </row>
    <row r="51" spans="1:32" ht="72" x14ac:dyDescent="0.55000000000000004">
      <c r="A51" s="22">
        <v>49</v>
      </c>
      <c r="B51" s="22" t="s">
        <v>219</v>
      </c>
      <c r="C51" s="22" t="s">
        <v>220</v>
      </c>
      <c r="D51" s="22" t="s">
        <v>184</v>
      </c>
      <c r="E51" s="22" t="s">
        <v>185</v>
      </c>
      <c r="F51" s="22"/>
      <c r="G51" s="23" t="s">
        <v>49</v>
      </c>
      <c r="H51" s="6">
        <v>0</v>
      </c>
      <c r="I51" s="3">
        <v>0</v>
      </c>
      <c r="J51" s="3">
        <v>0</v>
      </c>
      <c r="K51" s="4">
        <v>0</v>
      </c>
      <c r="L51" s="5">
        <v>0</v>
      </c>
      <c r="M51" s="3">
        <v>0</v>
      </c>
      <c r="N51" s="3">
        <v>0</v>
      </c>
      <c r="O51" s="4">
        <v>0</v>
      </c>
      <c r="P51" s="3">
        <v>0</v>
      </c>
      <c r="Q51" s="3">
        <v>0</v>
      </c>
      <c r="R51" s="3">
        <v>0</v>
      </c>
      <c r="S51" s="4">
        <v>0</v>
      </c>
      <c r="T51" s="3">
        <v>0</v>
      </c>
      <c r="U51" s="3">
        <v>0</v>
      </c>
      <c r="V51" s="3">
        <v>0</v>
      </c>
      <c r="W51" s="4">
        <v>0</v>
      </c>
      <c r="X51" s="3">
        <v>0</v>
      </c>
      <c r="Y51" s="3">
        <v>0</v>
      </c>
      <c r="Z51" s="3">
        <v>0</v>
      </c>
      <c r="AA51" s="4">
        <v>0</v>
      </c>
      <c r="AB51" s="3">
        <v>0</v>
      </c>
      <c r="AC51" s="3">
        <v>0</v>
      </c>
      <c r="AD51" s="3">
        <v>0</v>
      </c>
      <c r="AE51" s="3">
        <v>0</v>
      </c>
      <c r="AF51" s="3"/>
    </row>
    <row r="52" spans="1:32" ht="72" x14ac:dyDescent="0.55000000000000004">
      <c r="A52" s="22">
        <v>50</v>
      </c>
      <c r="B52" s="22" t="s">
        <v>219</v>
      </c>
      <c r="C52" s="22" t="s">
        <v>221</v>
      </c>
      <c r="D52" s="22" t="s">
        <v>142</v>
      </c>
      <c r="E52" s="22" t="s">
        <v>159</v>
      </c>
      <c r="F52" s="22"/>
      <c r="G52" s="23" t="s">
        <v>50</v>
      </c>
      <c r="H52" s="6">
        <v>0</v>
      </c>
      <c r="I52" s="3">
        <v>0</v>
      </c>
      <c r="J52" s="3">
        <v>0</v>
      </c>
      <c r="K52" s="4">
        <v>0</v>
      </c>
      <c r="L52" s="3">
        <v>0</v>
      </c>
      <c r="M52" s="3">
        <v>0</v>
      </c>
      <c r="N52" s="3">
        <v>0</v>
      </c>
      <c r="O52" s="4">
        <v>0</v>
      </c>
      <c r="P52" s="3">
        <v>0</v>
      </c>
      <c r="Q52" s="3">
        <v>0</v>
      </c>
      <c r="R52" s="3">
        <v>0</v>
      </c>
      <c r="S52" s="4">
        <v>0</v>
      </c>
      <c r="T52" s="3">
        <v>0</v>
      </c>
      <c r="U52" s="3">
        <v>0</v>
      </c>
      <c r="V52" s="3">
        <v>0</v>
      </c>
      <c r="W52" s="4">
        <v>0</v>
      </c>
      <c r="X52" s="3">
        <v>0</v>
      </c>
      <c r="Y52" s="3">
        <v>0</v>
      </c>
      <c r="Z52" s="3">
        <v>0</v>
      </c>
      <c r="AA52" s="4">
        <v>0</v>
      </c>
      <c r="AB52" s="3">
        <v>0</v>
      </c>
      <c r="AC52" s="3">
        <v>0</v>
      </c>
      <c r="AD52" s="3">
        <v>0</v>
      </c>
      <c r="AE52" s="3">
        <v>0</v>
      </c>
      <c r="AF52" s="3"/>
    </row>
    <row r="53" spans="1:32" x14ac:dyDescent="0.55000000000000004">
      <c r="H53" s="20"/>
      <c r="K53" s="21"/>
      <c r="O53" s="21"/>
      <c r="S53" s="21"/>
      <c r="W53" s="21"/>
      <c r="AA53" s="21"/>
    </row>
    <row r="54" spans="1:32" x14ac:dyDescent="0.55000000000000004">
      <c r="G54" s="7" t="s">
        <v>130</v>
      </c>
      <c r="H54" s="28">
        <f>SUM(Table2[Plausible])</f>
        <v>6</v>
      </c>
      <c r="I54" s="28">
        <f>SUM(Table2[Correct])</f>
        <v>1.6666666666666665</v>
      </c>
      <c r="J54" s="28">
        <f>SUM(Table2[File-level])</f>
        <v>13.912152244410308</v>
      </c>
      <c r="K54" s="28">
        <f>SUM(Table2[Function-level])</f>
        <v>6.4927777777777775</v>
      </c>
      <c r="L54" s="28">
        <f>SUM(Table2[Plausible2])</f>
        <v>6</v>
      </c>
      <c r="M54" s="28">
        <f>SUM(Table2[Correct2])</f>
        <v>2</v>
      </c>
      <c r="N54" s="28">
        <f>SUM(Table2[File-level2])</f>
        <v>13.676702508960572</v>
      </c>
      <c r="O54" s="28">
        <f>SUM(Table2[Function-level2])</f>
        <v>8.748823529411764</v>
      </c>
      <c r="P54" s="28">
        <f>SUM(Table2[Plausible3])</f>
        <v>0.33333333333333331</v>
      </c>
      <c r="Q54" s="28">
        <f>SUM(Table2[Correct3])</f>
        <v>0.33333333333333331</v>
      </c>
      <c r="R54" s="28">
        <f>SUM(Table2[File-level3])</f>
        <v>5.8355555555555547</v>
      </c>
      <c r="S54" s="28">
        <f>SUM(Table2[Function-level3])</f>
        <v>2.1077777777777778</v>
      </c>
      <c r="T54" s="28">
        <f>SUM(Table2[Plausible4])</f>
        <v>1</v>
      </c>
      <c r="U54" s="28">
        <f>SUM(Table2[Correct4])</f>
        <v>1</v>
      </c>
      <c r="V54" s="28">
        <f>SUM(Table2[File-level4])</f>
        <v>4.7611111111111102</v>
      </c>
      <c r="W54" s="28">
        <f>SUM(Table2[Function-level4])</f>
        <v>3.3888888888888888</v>
      </c>
      <c r="X54" s="28">
        <f>SUM(Table2[Plausible5])</f>
        <v>3.6666666666666665</v>
      </c>
      <c r="Y54" s="28">
        <f>SUM(Table2[Correct5])</f>
        <v>0.66666666666666663</v>
      </c>
      <c r="Z54" s="28">
        <f>SUM(Table2[File-level5])</f>
        <v>11.035591397849462</v>
      </c>
      <c r="AA54" s="28">
        <f>SUM(Table2[Function-level5])</f>
        <v>7.3856277056277051</v>
      </c>
      <c r="AB54" s="28">
        <f>SUM(Table2[Plausible6])</f>
        <v>6.3333333333333339</v>
      </c>
      <c r="AC54" s="28">
        <f>SUM(Table2[Correct6])</f>
        <v>2.333333333333333</v>
      </c>
      <c r="AD54" s="28">
        <f>SUM(Table2[File-level6])</f>
        <v>12.907301587301587</v>
      </c>
      <c r="AE54" s="28">
        <f>SUM(Table2[Function-level6])</f>
        <v>9.591016891605129</v>
      </c>
    </row>
    <row r="55" spans="1:32" x14ac:dyDescent="0.55000000000000004">
      <c r="G55" s="7" t="s">
        <v>223</v>
      </c>
      <c r="H55" s="29">
        <f>H54/50</f>
        <v>0.12</v>
      </c>
      <c r="I55" s="29">
        <f t="shared" ref="I55:AE55" si="0">I54/50</f>
        <v>3.3333333333333333E-2</v>
      </c>
      <c r="J55" s="29">
        <f t="shared" si="0"/>
        <v>0.27824304488820617</v>
      </c>
      <c r="K55" s="29">
        <f t="shared" si="0"/>
        <v>0.12985555555555556</v>
      </c>
      <c r="L55" s="29">
        <f t="shared" si="0"/>
        <v>0.12</v>
      </c>
      <c r="M55" s="29">
        <f t="shared" si="0"/>
        <v>0.04</v>
      </c>
      <c r="N55" s="29">
        <f t="shared" si="0"/>
        <v>0.27353405017921145</v>
      </c>
      <c r="O55" s="29">
        <f t="shared" si="0"/>
        <v>0.17497647058823529</v>
      </c>
      <c r="P55" s="29">
        <f t="shared" si="0"/>
        <v>6.6666666666666662E-3</v>
      </c>
      <c r="Q55" s="29">
        <f t="shared" si="0"/>
        <v>6.6666666666666662E-3</v>
      </c>
      <c r="R55" s="29">
        <f t="shared" si="0"/>
        <v>0.1167111111111111</v>
      </c>
      <c r="S55" s="29">
        <f t="shared" si="0"/>
        <v>4.2155555555555557E-2</v>
      </c>
      <c r="T55" s="29">
        <f t="shared" si="0"/>
        <v>0.02</v>
      </c>
      <c r="U55" s="29">
        <f t="shared" si="0"/>
        <v>0.02</v>
      </c>
      <c r="V55" s="29">
        <f t="shared" si="0"/>
        <v>9.5222222222222208E-2</v>
      </c>
      <c r="W55" s="29">
        <f t="shared" si="0"/>
        <v>6.777777777777777E-2</v>
      </c>
      <c r="X55" s="29">
        <f t="shared" si="0"/>
        <v>7.3333333333333334E-2</v>
      </c>
      <c r="Y55" s="29">
        <f t="shared" si="0"/>
        <v>1.3333333333333332E-2</v>
      </c>
      <c r="Z55" s="29">
        <f t="shared" si="0"/>
        <v>0.22071182795698924</v>
      </c>
      <c r="AA55" s="29">
        <f t="shared" si="0"/>
        <v>0.1477125541125541</v>
      </c>
      <c r="AB55" s="29">
        <f t="shared" si="0"/>
        <v>0.12666666666666668</v>
      </c>
      <c r="AC55" s="29">
        <f t="shared" si="0"/>
        <v>4.6666666666666662E-2</v>
      </c>
      <c r="AD55" s="29">
        <f t="shared" si="0"/>
        <v>0.25814603174603173</v>
      </c>
      <c r="AE55" s="29">
        <f t="shared" si="0"/>
        <v>0.19182033783210259</v>
      </c>
    </row>
  </sheetData>
  <mergeCells count="6">
    <mergeCell ref="AB1:AE1"/>
    <mergeCell ref="H1:K1"/>
    <mergeCell ref="L1:O1"/>
    <mergeCell ref="P1:S1"/>
    <mergeCell ref="T1:W1"/>
    <mergeCell ref="X1:AA1"/>
  </mergeCells>
  <hyperlinks>
    <hyperlink ref="G21" r:id="rId1"/>
    <hyperlink ref="G52" r:id="rId2"/>
    <hyperlink ref="G51" r:id="rId3"/>
    <hyperlink ref="G42" r:id="rId4"/>
    <hyperlink ref="G43" r:id="rId5"/>
    <hyperlink ref="G26" r:id="rId6"/>
    <hyperlink ref="G30" r:id="rId7"/>
    <hyperlink ref="G5" r:id="rId8"/>
    <hyperlink ref="G7" r:id="rId9"/>
    <hyperlink ref="G8" r:id="rId10"/>
    <hyperlink ref="G40" r:id="rId11"/>
    <hyperlink ref="G27" r:id="rId12"/>
    <hyperlink ref="G28" r:id="rId13"/>
    <hyperlink ref="G29" r:id="rId14"/>
    <hyperlink ref="G31" r:id="rId15"/>
    <hyperlink ref="G32" r:id="rId16"/>
    <hyperlink ref="G33" r:id="rId17"/>
    <hyperlink ref="G34" r:id="rId18"/>
    <hyperlink ref="G3" r:id="rId19"/>
    <hyperlink ref="G4" r:id="rId20"/>
    <hyperlink ref="G6" r:id="rId21"/>
    <hyperlink ref="G48" r:id="rId22"/>
    <hyperlink ref="G41" r:id="rId23"/>
    <hyperlink ref="G49" r:id="rId24"/>
    <hyperlink ref="G44" r:id="rId25"/>
    <hyperlink ref="G45" r:id="rId26"/>
    <hyperlink ref="G46" r:id="rId27"/>
    <hyperlink ref="G35" r:id="rId28"/>
    <hyperlink ref="G36" r:id="rId29"/>
    <hyperlink ref="G37" r:id="rId30"/>
    <hyperlink ref="G38" r:id="rId31"/>
    <hyperlink ref="G39" r:id="rId32"/>
    <hyperlink ref="G47" r:id="rId33"/>
    <hyperlink ref="G23" r:id="rId34"/>
    <hyperlink ref="G24" r:id="rId35"/>
    <hyperlink ref="G25" r:id="rId36"/>
    <hyperlink ref="G19" r:id="rId37"/>
    <hyperlink ref="G20" r:id="rId38"/>
    <hyperlink ref="G22" r:id="rId39"/>
    <hyperlink ref="G9" r:id="rId40"/>
    <hyperlink ref="G11" r:id="rId41"/>
    <hyperlink ref="G12" r:id="rId42"/>
    <hyperlink ref="G13" r:id="rId43"/>
    <hyperlink ref="G14" r:id="rId44"/>
    <hyperlink ref="G15" r:id="rId45"/>
    <hyperlink ref="G16" r:id="rId46"/>
    <hyperlink ref="G17" r:id="rId47"/>
    <hyperlink ref="G18" r:id="rId48"/>
    <hyperlink ref="G50" r:id="rId49"/>
  </hyperlinks>
  <pageMargins left="0.7" right="0.7" top="0.75" bottom="0.75" header="0.3" footer="0.3"/>
  <tableParts count="1">
    <tablePart r:id="rId5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5"/>
  <sheetViews>
    <sheetView workbookViewId="0">
      <selection activeCell="H5" sqref="H5"/>
    </sheetView>
  </sheetViews>
  <sheetFormatPr defaultRowHeight="14.4" x14ac:dyDescent="0.55000000000000004"/>
  <cols>
    <col min="1" max="1" width="5.734375" bestFit="1" customWidth="1"/>
    <col min="4" max="4" width="11" customWidth="1"/>
    <col min="5" max="5" width="13.41796875" customWidth="1"/>
    <col min="6" max="6" width="10.7890625" customWidth="1"/>
    <col min="7" max="7" width="9.83984375" customWidth="1"/>
    <col min="9" max="9" width="9.83984375" customWidth="1"/>
    <col min="10" max="10" width="14.05078125" customWidth="1"/>
    <col min="11" max="11" width="10.83984375" customWidth="1"/>
    <col min="12" max="12" width="9.47265625" customWidth="1"/>
    <col min="13" max="13" width="10.83984375" customWidth="1"/>
    <col min="14" max="14" width="15.05078125" customWidth="1"/>
    <col min="15" max="15" width="10.83984375" customWidth="1"/>
    <col min="16" max="16" width="9.47265625" customWidth="1"/>
    <col min="17" max="17" width="10.83984375" customWidth="1"/>
    <col min="18" max="18" width="15.05078125" customWidth="1"/>
    <col min="19" max="19" width="10.83984375" customWidth="1"/>
    <col min="20" max="20" width="9.47265625" customWidth="1"/>
    <col min="21" max="21" width="10.83984375" customWidth="1"/>
    <col min="22" max="22" width="15.05078125" customWidth="1"/>
    <col min="23" max="23" width="10.83984375" customWidth="1"/>
    <col min="24" max="24" width="9.47265625" customWidth="1"/>
    <col min="25" max="25" width="10.83984375" customWidth="1"/>
    <col min="26" max="26" width="15.05078125" customWidth="1"/>
    <col min="27" max="27" width="10.83984375" customWidth="1"/>
    <col min="28" max="28" width="9.47265625" customWidth="1"/>
    <col min="29" max="29" width="10.83984375" customWidth="1"/>
    <col min="30" max="30" width="15.05078125" customWidth="1"/>
  </cols>
  <sheetData>
    <row r="1" spans="1:30" x14ac:dyDescent="0.55000000000000004">
      <c r="G1" s="135" t="s">
        <v>51</v>
      </c>
      <c r="H1" s="135"/>
      <c r="I1" s="135"/>
      <c r="J1" s="135"/>
      <c r="K1" s="135" t="s">
        <v>52</v>
      </c>
      <c r="L1" s="135"/>
      <c r="M1" s="135"/>
      <c r="N1" s="135"/>
      <c r="O1" s="135" t="s">
        <v>53</v>
      </c>
      <c r="P1" s="135"/>
      <c r="Q1" s="135"/>
      <c r="R1" s="135"/>
      <c r="S1" s="135" t="s">
        <v>54</v>
      </c>
      <c r="T1" s="135"/>
      <c r="U1" s="135"/>
      <c r="V1" s="135"/>
      <c r="W1" s="135" t="s">
        <v>55</v>
      </c>
      <c r="X1" s="135"/>
      <c r="Y1" s="135"/>
      <c r="Z1" s="135"/>
      <c r="AA1" s="135" t="s">
        <v>56</v>
      </c>
      <c r="AB1" s="135"/>
      <c r="AC1" s="135"/>
      <c r="AD1" s="135"/>
    </row>
    <row r="2" spans="1:30" x14ac:dyDescent="0.55000000000000004">
      <c r="A2" t="s">
        <v>0</v>
      </c>
      <c r="B2" t="s">
        <v>132</v>
      </c>
      <c r="C2" t="s">
        <v>133</v>
      </c>
      <c r="D2" t="s">
        <v>134</v>
      </c>
      <c r="E2" t="s">
        <v>135</v>
      </c>
      <c r="F2" t="s">
        <v>57</v>
      </c>
      <c r="G2" t="s">
        <v>58</v>
      </c>
      <c r="H2" t="s">
        <v>59</v>
      </c>
      <c r="I2" t="s">
        <v>60</v>
      </c>
      <c r="J2" t="s">
        <v>61</v>
      </c>
      <c r="K2" t="s">
        <v>62</v>
      </c>
      <c r="L2" t="s">
        <v>63</v>
      </c>
      <c r="M2" t="s">
        <v>64</v>
      </c>
      <c r="N2" t="s">
        <v>65</v>
      </c>
      <c r="O2" t="s">
        <v>66</v>
      </c>
      <c r="P2" t="s">
        <v>67</v>
      </c>
      <c r="Q2" t="s">
        <v>68</v>
      </c>
      <c r="R2" t="s">
        <v>69</v>
      </c>
      <c r="S2" t="s">
        <v>70</v>
      </c>
      <c r="T2" t="s">
        <v>71</v>
      </c>
      <c r="U2" t="s">
        <v>72</v>
      </c>
      <c r="V2" t="s">
        <v>73</v>
      </c>
      <c r="W2" t="s">
        <v>74</v>
      </c>
      <c r="X2" t="s">
        <v>75</v>
      </c>
      <c r="Y2" t="s">
        <v>76</v>
      </c>
      <c r="Z2" t="s">
        <v>77</v>
      </c>
      <c r="AA2" t="s">
        <v>78</v>
      </c>
      <c r="AB2" t="s">
        <v>79</v>
      </c>
      <c r="AC2" t="s">
        <v>80</v>
      </c>
      <c r="AD2" t="s">
        <v>81</v>
      </c>
    </row>
    <row r="3" spans="1:30" ht="72" x14ac:dyDescent="0.55000000000000004">
      <c r="A3">
        <v>1</v>
      </c>
      <c r="B3" s="1" t="s">
        <v>259</v>
      </c>
      <c r="C3" s="1" t="s">
        <v>260</v>
      </c>
      <c r="D3" s="1" t="s">
        <v>154</v>
      </c>
      <c r="E3" s="1" t="s">
        <v>201</v>
      </c>
      <c r="F3" s="1" t="s">
        <v>261</v>
      </c>
      <c r="G3" s="20">
        <v>1</v>
      </c>
      <c r="H3" s="20">
        <v>0</v>
      </c>
      <c r="I3" s="20">
        <v>1</v>
      </c>
      <c r="J3" s="20">
        <v>1</v>
      </c>
      <c r="K3" s="20">
        <v>1</v>
      </c>
      <c r="L3" s="20">
        <v>0</v>
      </c>
      <c r="M3" s="20">
        <v>1</v>
      </c>
      <c r="N3" s="20">
        <v>1</v>
      </c>
      <c r="O3" s="20">
        <v>0</v>
      </c>
      <c r="P3" s="20">
        <v>0</v>
      </c>
      <c r="Q3" s="20">
        <v>0</v>
      </c>
      <c r="R3" s="20">
        <v>0</v>
      </c>
      <c r="S3" s="20">
        <v>0</v>
      </c>
      <c r="T3" s="20">
        <v>0</v>
      </c>
      <c r="U3" s="20">
        <v>0</v>
      </c>
      <c r="V3" s="20">
        <v>0</v>
      </c>
      <c r="W3" s="20">
        <v>1</v>
      </c>
      <c r="X3" s="20">
        <v>0</v>
      </c>
      <c r="Y3" s="20">
        <v>1</v>
      </c>
      <c r="Z3" s="20">
        <v>1</v>
      </c>
      <c r="AA3" s="20">
        <v>1</v>
      </c>
      <c r="AB3" s="20">
        <v>1</v>
      </c>
      <c r="AC3" s="20">
        <v>1</v>
      </c>
      <c r="AD3" s="20">
        <v>1</v>
      </c>
    </row>
    <row r="4" spans="1:30" ht="115.2" x14ac:dyDescent="0.55000000000000004">
      <c r="A4">
        <v>2</v>
      </c>
      <c r="B4" s="1" t="s">
        <v>262</v>
      </c>
      <c r="C4" s="1" t="s">
        <v>263</v>
      </c>
      <c r="D4" s="1" t="s">
        <v>154</v>
      </c>
      <c r="E4" s="1" t="s">
        <v>201</v>
      </c>
      <c r="F4" s="1" t="s">
        <v>264</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row>
    <row r="5" spans="1:30" ht="172.8" x14ac:dyDescent="0.55000000000000004">
      <c r="A5">
        <v>3</v>
      </c>
      <c r="B5" s="1" t="s">
        <v>262</v>
      </c>
      <c r="C5" s="1" t="s">
        <v>265</v>
      </c>
      <c r="D5" s="1" t="s">
        <v>154</v>
      </c>
      <c r="E5" s="1" t="s">
        <v>201</v>
      </c>
      <c r="F5" s="1" t="s">
        <v>266</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row>
    <row r="6" spans="1:30" ht="172.8" x14ac:dyDescent="0.55000000000000004">
      <c r="A6">
        <v>4</v>
      </c>
      <c r="B6" s="1" t="s">
        <v>262</v>
      </c>
      <c r="C6" s="1" t="s">
        <v>267</v>
      </c>
      <c r="D6" s="1" t="s">
        <v>154</v>
      </c>
      <c r="E6" s="1" t="s">
        <v>201</v>
      </c>
      <c r="F6" s="1" t="s">
        <v>268</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row>
    <row r="7" spans="1:30" ht="57.6" x14ac:dyDescent="0.55000000000000004">
      <c r="A7">
        <v>5</v>
      </c>
      <c r="B7" s="1" t="s">
        <v>262</v>
      </c>
      <c r="C7" s="1" t="s">
        <v>269</v>
      </c>
      <c r="D7" s="1" t="s">
        <v>154</v>
      </c>
      <c r="E7" s="1" t="s">
        <v>201</v>
      </c>
      <c r="F7" s="1" t="s">
        <v>270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row>
    <row r="8" spans="1:30" ht="144" x14ac:dyDescent="0.55000000000000004">
      <c r="A8">
        <v>6</v>
      </c>
      <c r="B8" s="1" t="s">
        <v>262</v>
      </c>
      <c r="C8" s="1" t="s">
        <v>271</v>
      </c>
      <c r="D8" s="1" t="s">
        <v>241</v>
      </c>
      <c r="E8" s="1" t="s">
        <v>241</v>
      </c>
      <c r="F8" s="1" t="s">
        <v>272</v>
      </c>
      <c r="G8" s="20">
        <v>0</v>
      </c>
      <c r="H8" s="20">
        <v>0</v>
      </c>
      <c r="I8" s="20">
        <v>0</v>
      </c>
      <c r="J8" s="20">
        <v>0</v>
      </c>
      <c r="K8" s="20">
        <v>0</v>
      </c>
      <c r="L8" s="20">
        <v>0</v>
      </c>
      <c r="M8" s="20">
        <v>0</v>
      </c>
      <c r="N8" s="20">
        <v>0</v>
      </c>
      <c r="O8" s="20">
        <v>0</v>
      </c>
      <c r="P8" s="20">
        <v>0</v>
      </c>
      <c r="Q8" s="20">
        <v>0</v>
      </c>
      <c r="R8" s="20">
        <v>0</v>
      </c>
      <c r="S8" s="20">
        <v>0</v>
      </c>
      <c r="T8" s="20">
        <v>0</v>
      </c>
      <c r="U8" s="20">
        <v>0</v>
      </c>
      <c r="V8" s="20">
        <v>0</v>
      </c>
      <c r="W8" s="20">
        <v>0</v>
      </c>
      <c r="X8" s="20">
        <v>0</v>
      </c>
      <c r="Y8" s="20">
        <v>0</v>
      </c>
      <c r="Z8" s="20">
        <v>0</v>
      </c>
      <c r="AA8" s="20">
        <v>0</v>
      </c>
      <c r="AB8" s="20">
        <v>0</v>
      </c>
      <c r="AC8" s="20">
        <v>0</v>
      </c>
      <c r="AD8" s="20">
        <v>0</v>
      </c>
    </row>
    <row r="9" spans="1:30" ht="72" x14ac:dyDescent="0.55000000000000004">
      <c r="A9">
        <v>7</v>
      </c>
      <c r="B9" s="1" t="s">
        <v>273</v>
      </c>
      <c r="C9" s="1" t="s">
        <v>274</v>
      </c>
      <c r="D9" s="1" t="s">
        <v>171</v>
      </c>
      <c r="E9" s="1" t="s">
        <v>172</v>
      </c>
      <c r="F9" s="1" t="s">
        <v>275</v>
      </c>
      <c r="G9" s="20">
        <v>0</v>
      </c>
      <c r="H9" s="20">
        <v>0</v>
      </c>
      <c r="I9" s="20">
        <v>0</v>
      </c>
      <c r="J9" s="20">
        <v>0</v>
      </c>
      <c r="K9" s="20">
        <v>0</v>
      </c>
      <c r="L9" s="20">
        <v>0</v>
      </c>
      <c r="M9" s="20">
        <v>0</v>
      </c>
      <c r="N9" s="20">
        <v>0</v>
      </c>
      <c r="O9" s="20">
        <v>0</v>
      </c>
      <c r="P9" s="20">
        <v>0</v>
      </c>
      <c r="Q9" s="20">
        <v>0</v>
      </c>
      <c r="R9" s="20">
        <v>0</v>
      </c>
      <c r="S9" s="20">
        <v>0</v>
      </c>
      <c r="T9" s="20">
        <v>0</v>
      </c>
      <c r="U9" s="20">
        <v>0</v>
      </c>
      <c r="V9" s="20">
        <v>0</v>
      </c>
      <c r="W9" s="20">
        <v>0</v>
      </c>
      <c r="X9" s="20">
        <v>0</v>
      </c>
      <c r="Y9" s="20">
        <v>0</v>
      </c>
      <c r="Z9" s="20">
        <v>0</v>
      </c>
      <c r="AA9" s="20">
        <v>0</v>
      </c>
      <c r="AB9" s="20">
        <v>0</v>
      </c>
      <c r="AC9" s="20">
        <v>0</v>
      </c>
      <c r="AD9" s="20">
        <v>0</v>
      </c>
    </row>
    <row r="10" spans="1:30" ht="100.8" x14ac:dyDescent="0.55000000000000004">
      <c r="A10">
        <v>8</v>
      </c>
      <c r="B10" s="1" t="s">
        <v>276</v>
      </c>
      <c r="C10" s="1" t="s">
        <v>277</v>
      </c>
      <c r="D10" s="1" t="s">
        <v>154</v>
      </c>
      <c r="E10" s="1" t="s">
        <v>157</v>
      </c>
      <c r="F10" s="1" t="s">
        <v>278</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row>
    <row r="11" spans="1:30" ht="57.6" x14ac:dyDescent="0.55000000000000004">
      <c r="A11">
        <v>9</v>
      </c>
      <c r="B11" s="1" t="s">
        <v>279</v>
      </c>
      <c r="C11" s="1" t="s">
        <v>280</v>
      </c>
      <c r="D11" s="1" t="s">
        <v>201</v>
      </c>
      <c r="E11" s="1" t="s">
        <v>201</v>
      </c>
      <c r="F11" s="1" t="s">
        <v>281</v>
      </c>
      <c r="G11" s="20">
        <v>0</v>
      </c>
      <c r="H11" s="20">
        <v>0</v>
      </c>
      <c r="I11" s="20">
        <v>0</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0</v>
      </c>
      <c r="AA11" s="20">
        <v>0</v>
      </c>
      <c r="AB11" s="20">
        <v>0</v>
      </c>
      <c r="AC11" s="20">
        <v>0</v>
      </c>
      <c r="AD11" s="20">
        <v>0</v>
      </c>
    </row>
    <row r="12" spans="1:30" ht="57.6" x14ac:dyDescent="0.55000000000000004">
      <c r="A12">
        <v>10</v>
      </c>
      <c r="B12" s="1" t="s">
        <v>279</v>
      </c>
      <c r="C12" s="1" t="s">
        <v>282</v>
      </c>
      <c r="D12" s="1" t="s">
        <v>142</v>
      </c>
      <c r="E12" s="1" t="s">
        <v>143</v>
      </c>
      <c r="F12" s="1" t="s">
        <v>283</v>
      </c>
      <c r="G12" s="20">
        <v>0</v>
      </c>
      <c r="H12" s="20">
        <v>0</v>
      </c>
      <c r="I12" s="20">
        <v>1</v>
      </c>
      <c r="J12" s="20">
        <v>0.33333333333333331</v>
      </c>
      <c r="K12" s="20">
        <v>0</v>
      </c>
      <c r="L12" s="20">
        <v>0</v>
      </c>
      <c r="M12" s="20">
        <v>1</v>
      </c>
      <c r="N12" s="20">
        <v>0.33333333333333331</v>
      </c>
      <c r="O12" s="20">
        <v>0</v>
      </c>
      <c r="P12" s="20">
        <v>0</v>
      </c>
      <c r="Q12" s="20">
        <v>0</v>
      </c>
      <c r="R12" s="20">
        <v>0</v>
      </c>
      <c r="S12" s="20">
        <v>0</v>
      </c>
      <c r="T12" s="20">
        <v>0</v>
      </c>
      <c r="U12" s="20">
        <v>0</v>
      </c>
      <c r="V12" s="20">
        <v>0</v>
      </c>
      <c r="W12" s="20">
        <v>0</v>
      </c>
      <c r="X12" s="20">
        <v>0</v>
      </c>
      <c r="Y12" s="20">
        <v>1</v>
      </c>
      <c r="Z12" s="20">
        <v>0.16666666666666666</v>
      </c>
      <c r="AA12" s="20">
        <v>0</v>
      </c>
      <c r="AB12" s="20">
        <v>0</v>
      </c>
      <c r="AC12" s="20">
        <v>0</v>
      </c>
      <c r="AD12" s="20">
        <v>0</v>
      </c>
    </row>
    <row r="13" spans="1:30" ht="158.4" x14ac:dyDescent="0.55000000000000004">
      <c r="A13">
        <v>11</v>
      </c>
      <c r="B13" s="1" t="s">
        <v>279</v>
      </c>
      <c r="C13" s="1" t="s">
        <v>284</v>
      </c>
      <c r="D13" s="1" t="s">
        <v>171</v>
      </c>
      <c r="E13" s="1" t="s">
        <v>172</v>
      </c>
      <c r="F13" s="1" t="s">
        <v>285</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0.66666666666666663</v>
      </c>
      <c r="AD13" s="20">
        <v>0.5</v>
      </c>
    </row>
    <row r="14" spans="1:30" ht="187.2" x14ac:dyDescent="0.55000000000000004">
      <c r="A14">
        <v>12</v>
      </c>
      <c r="B14" s="1" t="s">
        <v>286</v>
      </c>
      <c r="C14" s="1" t="s">
        <v>287</v>
      </c>
      <c r="D14" s="1" t="s">
        <v>142</v>
      </c>
      <c r="E14" s="1" t="s">
        <v>159</v>
      </c>
      <c r="F14" s="1" t="s">
        <v>288</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row>
    <row r="15" spans="1:30" ht="158.4" x14ac:dyDescent="0.55000000000000004">
      <c r="A15">
        <v>13</v>
      </c>
      <c r="B15" s="1" t="s">
        <v>204</v>
      </c>
      <c r="C15" s="1" t="s">
        <v>289</v>
      </c>
      <c r="D15" s="1" t="s">
        <v>139</v>
      </c>
      <c r="E15" s="1" t="s">
        <v>140</v>
      </c>
      <c r="F15" s="1" t="s">
        <v>290</v>
      </c>
      <c r="G15" s="20">
        <v>0</v>
      </c>
      <c r="H15" s="20">
        <v>0</v>
      </c>
      <c r="I15" s="20">
        <v>0</v>
      </c>
      <c r="J15" s="20">
        <v>0</v>
      </c>
      <c r="K15" s="20">
        <v>0</v>
      </c>
      <c r="L15" s="20">
        <v>0</v>
      </c>
      <c r="M15" s="20">
        <v>0</v>
      </c>
      <c r="N15" s="20">
        <v>0</v>
      </c>
      <c r="O15" s="20">
        <v>0</v>
      </c>
      <c r="P15" s="20">
        <v>0</v>
      </c>
      <c r="Q15" s="20">
        <v>0</v>
      </c>
      <c r="R15" s="20">
        <v>0</v>
      </c>
      <c r="S15" s="20">
        <v>0</v>
      </c>
      <c r="T15" s="20">
        <v>0</v>
      </c>
      <c r="U15" s="20">
        <v>0</v>
      </c>
      <c r="V15" s="20">
        <v>0</v>
      </c>
      <c r="W15" s="20">
        <v>0</v>
      </c>
      <c r="X15" s="20">
        <v>0</v>
      </c>
      <c r="Y15" s="20">
        <v>0</v>
      </c>
      <c r="Z15" s="20">
        <v>0</v>
      </c>
      <c r="AA15" s="20">
        <v>0</v>
      </c>
      <c r="AB15" s="20">
        <v>0</v>
      </c>
      <c r="AC15" s="20">
        <v>1</v>
      </c>
      <c r="AD15" s="20">
        <v>0</v>
      </c>
    </row>
    <row r="16" spans="1:30" ht="100.8" x14ac:dyDescent="0.55000000000000004">
      <c r="A16">
        <v>14</v>
      </c>
      <c r="B16" s="1" t="s">
        <v>204</v>
      </c>
      <c r="C16" s="1" t="s">
        <v>291</v>
      </c>
      <c r="D16" s="1" t="s">
        <v>142</v>
      </c>
      <c r="E16" s="1" t="s">
        <v>159</v>
      </c>
      <c r="F16" s="1" t="s">
        <v>292</v>
      </c>
      <c r="G16" s="20">
        <v>0</v>
      </c>
      <c r="H16" s="20">
        <v>0</v>
      </c>
      <c r="I16" s="20">
        <v>0</v>
      </c>
      <c r="J16" s="20">
        <v>0</v>
      </c>
      <c r="K16" s="20">
        <v>0</v>
      </c>
      <c r="L16" s="20">
        <v>0</v>
      </c>
      <c r="M16" s="20">
        <v>0</v>
      </c>
      <c r="N16" s="20">
        <v>0</v>
      </c>
      <c r="O16" s="20">
        <v>0</v>
      </c>
      <c r="P16" s="20">
        <v>0</v>
      </c>
      <c r="Q16" s="20">
        <v>0</v>
      </c>
      <c r="R16" s="20">
        <v>0</v>
      </c>
      <c r="S16" s="20">
        <v>0</v>
      </c>
      <c r="T16" s="20">
        <v>0</v>
      </c>
      <c r="U16" s="20">
        <v>0</v>
      </c>
      <c r="V16" s="20">
        <v>0</v>
      </c>
      <c r="W16" s="20">
        <v>0</v>
      </c>
      <c r="X16" s="20">
        <v>0</v>
      </c>
      <c r="Y16" s="20">
        <v>0</v>
      </c>
      <c r="Z16" s="20">
        <v>0</v>
      </c>
      <c r="AA16" s="20">
        <v>0</v>
      </c>
      <c r="AB16" s="20">
        <v>0</v>
      </c>
      <c r="AC16" s="20">
        <v>0</v>
      </c>
      <c r="AD16" s="20">
        <v>0</v>
      </c>
    </row>
    <row r="17" spans="1:30" ht="100.8" x14ac:dyDescent="0.55000000000000004">
      <c r="A17">
        <v>15</v>
      </c>
      <c r="B17" s="1" t="s">
        <v>204</v>
      </c>
      <c r="C17" s="1" t="s">
        <v>293</v>
      </c>
      <c r="D17" s="1" t="s">
        <v>142</v>
      </c>
      <c r="E17" s="1" t="s">
        <v>159</v>
      </c>
      <c r="F17" s="1" t="s">
        <v>294</v>
      </c>
      <c r="G17" s="20">
        <v>0</v>
      </c>
      <c r="H17" s="20">
        <v>0</v>
      </c>
      <c r="I17" s="20">
        <v>0</v>
      </c>
      <c r="J17" s="20">
        <v>0</v>
      </c>
      <c r="K17" s="20">
        <v>0</v>
      </c>
      <c r="L17" s="20">
        <v>0</v>
      </c>
      <c r="M17" s="20">
        <v>0.5</v>
      </c>
      <c r="N17" s="20">
        <v>0</v>
      </c>
      <c r="O17" s="20">
        <v>0</v>
      </c>
      <c r="P17" s="20">
        <v>0</v>
      </c>
      <c r="Q17" s="20">
        <v>0</v>
      </c>
      <c r="R17" s="20">
        <v>0</v>
      </c>
      <c r="S17" s="20">
        <v>0</v>
      </c>
      <c r="T17" s="20">
        <v>0</v>
      </c>
      <c r="U17" s="20">
        <v>0</v>
      </c>
      <c r="V17" s="20">
        <v>0</v>
      </c>
      <c r="W17" s="20">
        <v>0</v>
      </c>
      <c r="X17" s="20">
        <v>0</v>
      </c>
      <c r="Y17" s="20">
        <v>0.5</v>
      </c>
      <c r="Z17" s="20">
        <v>0</v>
      </c>
      <c r="AA17" s="20">
        <v>0</v>
      </c>
      <c r="AB17" s="20">
        <v>0</v>
      </c>
      <c r="AC17" s="20">
        <v>0.5</v>
      </c>
      <c r="AD17" s="20">
        <v>0.25</v>
      </c>
    </row>
    <row r="18" spans="1:30" ht="230.4" x14ac:dyDescent="0.55000000000000004">
      <c r="A18">
        <v>16</v>
      </c>
      <c r="B18" s="1" t="s">
        <v>295</v>
      </c>
      <c r="C18" s="1" t="s">
        <v>296</v>
      </c>
      <c r="D18" s="1"/>
      <c r="E18" s="1"/>
      <c r="F18" s="1" t="s">
        <v>297</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1</v>
      </c>
      <c r="AD18" s="20">
        <v>0.5</v>
      </c>
    </row>
    <row r="19" spans="1:30" ht="86.4" x14ac:dyDescent="0.55000000000000004">
      <c r="A19">
        <v>17</v>
      </c>
      <c r="B19" s="1" t="s">
        <v>262</v>
      </c>
      <c r="C19" s="1" t="s">
        <v>298</v>
      </c>
      <c r="D19" s="1" t="s">
        <v>139</v>
      </c>
      <c r="E19" s="1" t="s">
        <v>140</v>
      </c>
      <c r="F19" s="1" t="s">
        <v>299</v>
      </c>
      <c r="G19" s="20">
        <v>0</v>
      </c>
      <c r="H19" s="20">
        <v>0</v>
      </c>
      <c r="I19" s="20">
        <v>0</v>
      </c>
      <c r="J19" s="20">
        <v>0</v>
      </c>
      <c r="K19" s="20">
        <v>0</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row>
    <row r="20" spans="1:30" ht="100.8" x14ac:dyDescent="0.55000000000000004">
      <c r="A20">
        <v>18</v>
      </c>
      <c r="B20" s="1" t="s">
        <v>262</v>
      </c>
      <c r="C20" s="1" t="s">
        <v>300</v>
      </c>
      <c r="D20" s="1" t="s">
        <v>139</v>
      </c>
      <c r="E20" s="1" t="s">
        <v>140</v>
      </c>
      <c r="F20" s="1" t="s">
        <v>301</v>
      </c>
      <c r="G20" s="20">
        <v>0</v>
      </c>
      <c r="H20" s="20">
        <v>0</v>
      </c>
      <c r="I20" s="20">
        <v>0</v>
      </c>
      <c r="J20" s="20">
        <v>0</v>
      </c>
      <c r="K20" s="20">
        <v>0</v>
      </c>
      <c r="L20" s="20">
        <v>0</v>
      </c>
      <c r="M20" s="20">
        <v>0</v>
      </c>
      <c r="N20" s="20">
        <v>0</v>
      </c>
      <c r="O20" s="20">
        <v>0</v>
      </c>
      <c r="P20" s="20">
        <v>0</v>
      </c>
      <c r="Q20" s="20">
        <v>0</v>
      </c>
      <c r="R20" s="20">
        <v>0</v>
      </c>
      <c r="S20" s="20">
        <v>0</v>
      </c>
      <c r="T20" s="20">
        <v>0</v>
      </c>
      <c r="U20" s="20">
        <v>0</v>
      </c>
      <c r="V20" s="20">
        <v>0</v>
      </c>
      <c r="W20" s="20">
        <v>0</v>
      </c>
      <c r="X20" s="20">
        <v>0</v>
      </c>
      <c r="Y20" s="20">
        <v>0</v>
      </c>
      <c r="Z20" s="20">
        <v>0</v>
      </c>
      <c r="AA20" s="20">
        <v>0</v>
      </c>
      <c r="AB20" s="20">
        <v>0</v>
      </c>
      <c r="AC20" s="20">
        <v>0</v>
      </c>
      <c r="AD20" s="20">
        <v>0</v>
      </c>
    </row>
    <row r="21" spans="1:30" ht="129.6" x14ac:dyDescent="0.55000000000000004">
      <c r="A21">
        <v>19</v>
      </c>
      <c r="B21" s="1" t="s">
        <v>262</v>
      </c>
      <c r="C21" s="1" t="s">
        <v>302</v>
      </c>
      <c r="D21" s="1" t="s">
        <v>184</v>
      </c>
      <c r="E21" s="1" t="s">
        <v>185</v>
      </c>
      <c r="F21" s="1" t="s">
        <v>303</v>
      </c>
      <c r="G21" s="20">
        <v>0</v>
      </c>
      <c r="H21" s="20">
        <v>0</v>
      </c>
      <c r="I21" s="20">
        <v>0</v>
      </c>
      <c r="J21" s="20">
        <v>0</v>
      </c>
      <c r="K21" s="20">
        <v>0</v>
      </c>
      <c r="L21" s="20">
        <v>0</v>
      </c>
      <c r="M21" s="20">
        <v>0</v>
      </c>
      <c r="N21" s="20">
        <v>0</v>
      </c>
      <c r="O21" s="20">
        <v>0</v>
      </c>
      <c r="P21" s="20">
        <v>0</v>
      </c>
      <c r="Q21" s="20">
        <v>0</v>
      </c>
      <c r="R21" s="20">
        <v>0</v>
      </c>
      <c r="S21" s="20">
        <v>0</v>
      </c>
      <c r="T21" s="20">
        <v>0</v>
      </c>
      <c r="U21" s="20">
        <v>0</v>
      </c>
      <c r="V21" s="20">
        <v>0</v>
      </c>
      <c r="W21" s="20">
        <v>0</v>
      </c>
      <c r="X21" s="20">
        <v>0</v>
      </c>
      <c r="Y21" s="20">
        <v>0</v>
      </c>
      <c r="Z21" s="20">
        <v>0</v>
      </c>
      <c r="AA21" s="20">
        <v>0</v>
      </c>
      <c r="AB21" s="20">
        <v>0</v>
      </c>
      <c r="AC21" s="20">
        <v>0</v>
      </c>
      <c r="AD21" s="20">
        <v>0</v>
      </c>
    </row>
    <row r="22" spans="1:30" ht="187.2" x14ac:dyDescent="0.55000000000000004">
      <c r="A22">
        <v>20</v>
      </c>
      <c r="B22" s="1" t="s">
        <v>295</v>
      </c>
      <c r="C22" s="1" t="s">
        <v>304</v>
      </c>
      <c r="D22" s="1"/>
      <c r="E22" s="1"/>
      <c r="F22" s="1" t="s">
        <v>305</v>
      </c>
      <c r="G22" s="20">
        <v>0</v>
      </c>
      <c r="H22" s="20">
        <v>0</v>
      </c>
      <c r="I22" s="20">
        <v>0</v>
      </c>
      <c r="J22" s="20">
        <v>0</v>
      </c>
      <c r="K22" s="20">
        <v>0</v>
      </c>
      <c r="L22" s="20">
        <v>0</v>
      </c>
      <c r="M22" s="20">
        <v>0</v>
      </c>
      <c r="N22" s="20">
        <v>0</v>
      </c>
      <c r="O22" s="20">
        <v>0</v>
      </c>
      <c r="P22" s="20">
        <v>0</v>
      </c>
      <c r="Q22" s="20">
        <v>0</v>
      </c>
      <c r="R22" s="20">
        <v>0</v>
      </c>
      <c r="S22" s="20">
        <v>0</v>
      </c>
      <c r="T22" s="20">
        <v>0</v>
      </c>
      <c r="U22" s="20">
        <v>0</v>
      </c>
      <c r="V22" s="20">
        <v>0</v>
      </c>
      <c r="W22" s="20">
        <v>0</v>
      </c>
      <c r="X22" s="20">
        <v>0</v>
      </c>
      <c r="Y22" s="20">
        <v>0</v>
      </c>
      <c r="Z22" s="20">
        <v>0</v>
      </c>
      <c r="AA22" s="20">
        <v>0</v>
      </c>
      <c r="AB22" s="20">
        <v>0</v>
      </c>
      <c r="AC22" s="20">
        <v>0</v>
      </c>
      <c r="AD22" s="20">
        <v>0</v>
      </c>
    </row>
    <row r="24" spans="1:30" x14ac:dyDescent="0.55000000000000004">
      <c r="F24" s="7" t="s">
        <v>233</v>
      </c>
      <c r="G24" s="28">
        <v>1</v>
      </c>
      <c r="H24" s="28">
        <v>0</v>
      </c>
      <c r="I24" s="28">
        <v>2</v>
      </c>
      <c r="J24" s="28">
        <v>1.3333333333333333</v>
      </c>
      <c r="K24" s="28">
        <v>1</v>
      </c>
      <c r="L24" s="28">
        <v>0</v>
      </c>
      <c r="M24" s="28">
        <v>2.5</v>
      </c>
      <c r="N24" s="28">
        <v>1.3333333333333333</v>
      </c>
      <c r="O24" s="28">
        <v>0</v>
      </c>
      <c r="P24" s="28">
        <v>0</v>
      </c>
      <c r="Q24" s="28">
        <v>0</v>
      </c>
      <c r="R24" s="28">
        <v>0</v>
      </c>
      <c r="S24" s="28">
        <v>0</v>
      </c>
      <c r="T24" s="28">
        <v>0</v>
      </c>
      <c r="U24" s="28">
        <v>0</v>
      </c>
      <c r="V24" s="28">
        <v>0</v>
      </c>
      <c r="W24" s="28">
        <v>1</v>
      </c>
      <c r="X24" s="28">
        <v>0</v>
      </c>
      <c r="Y24" s="28">
        <v>2.5</v>
      </c>
      <c r="Z24" s="28">
        <v>1.1666666666666667</v>
      </c>
      <c r="AA24" s="28">
        <v>1</v>
      </c>
      <c r="AB24" s="28">
        <v>1</v>
      </c>
      <c r="AC24" s="28">
        <v>4.1666666666666661</v>
      </c>
      <c r="AD24" s="28">
        <v>2.25</v>
      </c>
    </row>
    <row r="25" spans="1:30" x14ac:dyDescent="0.55000000000000004">
      <c r="F25" s="7" t="s">
        <v>222</v>
      </c>
      <c r="G25" s="29">
        <v>0.05</v>
      </c>
      <c r="H25" s="29">
        <v>0</v>
      </c>
      <c r="I25" s="29">
        <v>0.1</v>
      </c>
      <c r="J25" s="29">
        <v>6.6666666666666666E-2</v>
      </c>
      <c r="K25" s="29">
        <v>0.05</v>
      </c>
      <c r="L25" s="29">
        <v>0</v>
      </c>
      <c r="M25" s="29">
        <v>0.125</v>
      </c>
      <c r="N25" s="29">
        <v>6.6666666666666666E-2</v>
      </c>
      <c r="O25" s="29">
        <v>0</v>
      </c>
      <c r="P25" s="29">
        <v>0</v>
      </c>
      <c r="Q25" s="29">
        <v>0</v>
      </c>
      <c r="R25" s="29">
        <v>0</v>
      </c>
      <c r="S25" s="29">
        <v>0</v>
      </c>
      <c r="T25" s="29">
        <v>0</v>
      </c>
      <c r="U25" s="29">
        <v>0</v>
      </c>
      <c r="V25" s="29">
        <v>0</v>
      </c>
      <c r="W25" s="29">
        <v>0.05</v>
      </c>
      <c r="X25" s="29">
        <v>0</v>
      </c>
      <c r="Y25" s="29">
        <v>0.125</v>
      </c>
      <c r="Z25" s="29">
        <v>5.8333333333333334E-2</v>
      </c>
      <c r="AA25" s="29">
        <v>0.05</v>
      </c>
      <c r="AB25" s="29">
        <v>0.05</v>
      </c>
      <c r="AC25" s="29">
        <v>0.20833333333333331</v>
      </c>
      <c r="AD25" s="29">
        <v>0.1125</v>
      </c>
    </row>
  </sheetData>
  <mergeCells count="6">
    <mergeCell ref="AA1:AD1"/>
    <mergeCell ref="G1:J1"/>
    <mergeCell ref="K1:N1"/>
    <mergeCell ref="O1:R1"/>
    <mergeCell ref="S1:V1"/>
    <mergeCell ref="W1:Z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52"/>
  <sheetViews>
    <sheetView topLeftCell="A195" workbookViewId="0">
      <selection activeCell="H194" sqref="H194"/>
    </sheetView>
  </sheetViews>
  <sheetFormatPr defaultRowHeight="14.4" x14ac:dyDescent="0.55000000000000004"/>
  <sheetData>
    <row r="1" spans="1:48" ht="57.6" x14ac:dyDescent="0.55000000000000004">
      <c r="A1" s="49" t="s">
        <v>133</v>
      </c>
      <c r="B1" s="51" t="s">
        <v>134</v>
      </c>
      <c r="C1" s="51" t="s">
        <v>306</v>
      </c>
      <c r="D1" s="52">
        <v>741</v>
      </c>
      <c r="E1" s="51" t="s">
        <v>307</v>
      </c>
      <c r="F1" s="51" t="s">
        <v>136</v>
      </c>
      <c r="G1" s="51" t="s">
        <v>308</v>
      </c>
      <c r="H1" s="51" t="s">
        <v>309</v>
      </c>
      <c r="I1" s="51" t="s">
        <v>310</v>
      </c>
      <c r="J1" s="51" t="s">
        <v>311</v>
      </c>
      <c r="K1" s="51" t="s">
        <v>57</v>
      </c>
      <c r="L1" s="51" t="s">
        <v>312</v>
      </c>
      <c r="M1" s="51" t="s">
        <v>313</v>
      </c>
      <c r="N1" s="51" t="s">
        <v>314</v>
      </c>
      <c r="O1" s="51" t="s">
        <v>315</v>
      </c>
      <c r="P1" s="51" t="s">
        <v>316</v>
      </c>
      <c r="Q1" s="51" t="s">
        <v>317</v>
      </c>
      <c r="R1" s="51" t="s">
        <v>318</v>
      </c>
      <c r="S1" s="51" t="s">
        <v>319</v>
      </c>
      <c r="T1" s="51" t="s">
        <v>320</v>
      </c>
      <c r="U1" s="51" t="s">
        <v>60</v>
      </c>
      <c r="V1" s="51" t="s">
        <v>61</v>
      </c>
      <c r="W1" s="51" t="s">
        <v>314</v>
      </c>
      <c r="X1" s="51" t="s">
        <v>319</v>
      </c>
      <c r="Y1" s="51" t="s">
        <v>320</v>
      </c>
      <c r="Z1" s="51" t="s">
        <v>60</v>
      </c>
      <c r="AA1" s="51" t="s">
        <v>61</v>
      </c>
      <c r="AB1" s="51" t="s">
        <v>314</v>
      </c>
      <c r="AC1" s="51" t="s">
        <v>319</v>
      </c>
      <c r="AD1" s="51" t="s">
        <v>320</v>
      </c>
      <c r="AE1" s="51" t="s">
        <v>60</v>
      </c>
      <c r="AF1" s="51" t="s">
        <v>61</v>
      </c>
      <c r="AG1" s="51" t="s">
        <v>314</v>
      </c>
      <c r="AH1" s="51" t="s">
        <v>319</v>
      </c>
      <c r="AI1" s="51" t="s">
        <v>320</v>
      </c>
      <c r="AJ1" s="51" t="s">
        <v>60</v>
      </c>
      <c r="AK1" s="51" t="s">
        <v>61</v>
      </c>
      <c r="AL1" s="51" t="s">
        <v>314</v>
      </c>
      <c r="AM1" s="51" t="s">
        <v>319</v>
      </c>
      <c r="AN1" s="51" t="s">
        <v>320</v>
      </c>
      <c r="AO1" s="51" t="s">
        <v>60</v>
      </c>
      <c r="AP1" s="51" t="s">
        <v>61</v>
      </c>
      <c r="AQ1" s="51" t="s">
        <v>314</v>
      </c>
      <c r="AR1" s="51" t="s">
        <v>319</v>
      </c>
      <c r="AS1" s="51" t="s">
        <v>320</v>
      </c>
      <c r="AT1" s="51" t="s">
        <v>60</v>
      </c>
      <c r="AU1" s="51" t="s">
        <v>61</v>
      </c>
      <c r="AV1" s="51" t="s">
        <v>314</v>
      </c>
    </row>
    <row r="2" spans="1:48" ht="288" x14ac:dyDescent="0.55000000000000004">
      <c r="A2" s="53" t="s">
        <v>321</v>
      </c>
      <c r="B2" s="54" t="s">
        <v>322</v>
      </c>
      <c r="C2" s="55" t="s">
        <v>323</v>
      </c>
      <c r="D2" s="54" t="s">
        <v>324</v>
      </c>
      <c r="E2" s="54" t="s">
        <v>325</v>
      </c>
      <c r="F2" s="56" t="s">
        <v>326</v>
      </c>
      <c r="G2" s="54" t="s">
        <v>327</v>
      </c>
      <c r="H2" s="54" t="s">
        <v>328</v>
      </c>
      <c r="I2" s="19" t="s">
        <v>329</v>
      </c>
      <c r="J2" s="54" t="s">
        <v>330</v>
      </c>
      <c r="K2" s="57" t="s">
        <v>331</v>
      </c>
      <c r="L2" s="19" t="s">
        <v>329</v>
      </c>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row>
    <row r="3" spans="1:48" ht="72" x14ac:dyDescent="0.55000000000000004">
      <c r="A3" s="58" t="s">
        <v>332</v>
      </c>
      <c r="B3" s="58" t="s">
        <v>333</v>
      </c>
      <c r="C3" s="59" t="s">
        <v>333</v>
      </c>
      <c r="D3" s="58"/>
      <c r="E3" s="58" t="s">
        <v>330</v>
      </c>
      <c r="F3" s="60" t="s">
        <v>334</v>
      </c>
      <c r="G3" s="61"/>
      <c r="H3" s="58" t="s">
        <v>330</v>
      </c>
      <c r="I3" s="61" t="s">
        <v>329</v>
      </c>
      <c r="J3" s="58" t="s">
        <v>330</v>
      </c>
      <c r="K3" s="62" t="s">
        <v>335</v>
      </c>
      <c r="L3" s="61" t="s">
        <v>329</v>
      </c>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row>
    <row r="4" spans="1:48" ht="129.6" x14ac:dyDescent="0.55000000000000004">
      <c r="A4" s="53" t="s">
        <v>336</v>
      </c>
      <c r="B4" s="54" t="s">
        <v>337</v>
      </c>
      <c r="C4" s="63" t="s">
        <v>338</v>
      </c>
      <c r="D4" s="54"/>
      <c r="E4" s="54" t="s">
        <v>339</v>
      </c>
      <c r="F4" s="56" t="s">
        <v>326</v>
      </c>
      <c r="G4" s="54" t="s">
        <v>327</v>
      </c>
      <c r="H4" s="54" t="s">
        <v>340</v>
      </c>
      <c r="I4" s="19" t="s">
        <v>329</v>
      </c>
      <c r="J4" s="54" t="s">
        <v>330</v>
      </c>
      <c r="K4" s="57" t="s">
        <v>341</v>
      </c>
      <c r="L4" s="19" t="s">
        <v>329</v>
      </c>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row>
    <row r="5" spans="1:48" ht="115.2" x14ac:dyDescent="0.55000000000000004">
      <c r="A5" s="48" t="s">
        <v>180</v>
      </c>
      <c r="B5" s="47" t="s">
        <v>342</v>
      </c>
      <c r="C5" s="47" t="s">
        <v>343</v>
      </c>
      <c r="D5" s="47" t="s">
        <v>344</v>
      </c>
      <c r="E5" s="47" t="s">
        <v>330</v>
      </c>
      <c r="F5" s="65" t="s">
        <v>326</v>
      </c>
      <c r="G5" s="47"/>
      <c r="H5" s="47" t="s">
        <v>345</v>
      </c>
      <c r="I5" s="47" t="s">
        <v>346</v>
      </c>
      <c r="J5" s="67" t="s">
        <v>347</v>
      </c>
      <c r="K5" s="67" t="s">
        <v>24</v>
      </c>
      <c r="L5" s="48" t="s">
        <v>346</v>
      </c>
      <c r="M5" s="47" t="s">
        <v>329</v>
      </c>
      <c r="N5" s="47" t="s">
        <v>348</v>
      </c>
      <c r="O5" s="47" t="s">
        <v>349</v>
      </c>
      <c r="P5" s="47" t="s">
        <v>346</v>
      </c>
      <c r="Q5" s="68">
        <v>3</v>
      </c>
      <c r="R5" s="68">
        <v>4</v>
      </c>
      <c r="S5" s="68">
        <v>1</v>
      </c>
      <c r="T5" s="68">
        <v>1</v>
      </c>
      <c r="U5" s="68">
        <v>3</v>
      </c>
      <c r="V5" s="68">
        <v>3</v>
      </c>
      <c r="W5" s="47" t="s">
        <v>350</v>
      </c>
      <c r="X5" s="68">
        <v>0</v>
      </c>
      <c r="Y5" s="68">
        <v>0</v>
      </c>
      <c r="Z5" s="68">
        <v>0</v>
      </c>
      <c r="AA5" s="68">
        <v>0</v>
      </c>
      <c r="AB5" s="47" t="s">
        <v>351</v>
      </c>
      <c r="AC5" s="68">
        <v>0</v>
      </c>
      <c r="AD5" s="68">
        <v>0</v>
      </c>
      <c r="AE5" s="68">
        <v>0</v>
      </c>
      <c r="AF5" s="68">
        <v>0</v>
      </c>
      <c r="AG5" s="47" t="s">
        <v>352</v>
      </c>
      <c r="AH5" s="68">
        <v>0</v>
      </c>
      <c r="AI5" s="68">
        <v>0</v>
      </c>
      <c r="AJ5" s="68">
        <v>0</v>
      </c>
      <c r="AK5" s="68">
        <v>0</v>
      </c>
      <c r="AL5" s="47"/>
      <c r="AM5" s="68">
        <v>0</v>
      </c>
      <c r="AN5" s="68">
        <v>0</v>
      </c>
      <c r="AO5" s="68">
        <v>0</v>
      </c>
      <c r="AP5" s="68">
        <v>0</v>
      </c>
      <c r="AQ5" s="47"/>
      <c r="AR5" s="68">
        <v>0</v>
      </c>
      <c r="AS5" s="68">
        <v>0</v>
      </c>
      <c r="AT5" s="68">
        <v>0</v>
      </c>
      <c r="AU5" s="68">
        <v>0</v>
      </c>
      <c r="AV5" s="47"/>
    </row>
    <row r="6" spans="1:48" ht="72" x14ac:dyDescent="0.55000000000000004">
      <c r="A6" s="48" t="s">
        <v>353</v>
      </c>
      <c r="B6" s="19" t="s">
        <v>354</v>
      </c>
      <c r="C6" s="19" t="s">
        <v>355</v>
      </c>
      <c r="D6" s="19" t="s">
        <v>356</v>
      </c>
      <c r="E6" s="19" t="s">
        <v>357</v>
      </c>
      <c r="F6" s="56" t="s">
        <v>326</v>
      </c>
      <c r="G6" s="19"/>
      <c r="H6" s="19" t="s">
        <v>358</v>
      </c>
      <c r="I6" s="19" t="s">
        <v>329</v>
      </c>
      <c r="J6" s="19" t="s">
        <v>330</v>
      </c>
      <c r="K6" s="70" t="s">
        <v>359</v>
      </c>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row>
    <row r="7" spans="1:48" ht="172.8" x14ac:dyDescent="0.55000000000000004">
      <c r="A7" s="48" t="s">
        <v>360</v>
      </c>
      <c r="B7" s="47" t="s">
        <v>354</v>
      </c>
      <c r="C7" s="47" t="s">
        <v>355</v>
      </c>
      <c r="D7" s="47"/>
      <c r="E7" s="47" t="s">
        <v>361</v>
      </c>
      <c r="F7" s="65" t="s">
        <v>326</v>
      </c>
      <c r="G7" s="47"/>
      <c r="H7" s="47" t="s">
        <v>358</v>
      </c>
      <c r="I7" s="47" t="s">
        <v>329</v>
      </c>
      <c r="J7" s="47" t="s">
        <v>330</v>
      </c>
      <c r="K7" s="47" t="s">
        <v>362</v>
      </c>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row>
    <row r="8" spans="1:48" ht="100.8" x14ac:dyDescent="0.55000000000000004">
      <c r="A8" s="48" t="s">
        <v>363</v>
      </c>
      <c r="B8" s="54" t="s">
        <v>337</v>
      </c>
      <c r="C8" s="19" t="s">
        <v>364</v>
      </c>
      <c r="D8" s="19" t="s">
        <v>365</v>
      </c>
      <c r="E8" s="19" t="s">
        <v>366</v>
      </c>
      <c r="F8" s="56" t="s">
        <v>326</v>
      </c>
      <c r="G8" s="19"/>
      <c r="H8" s="19" t="s">
        <v>367</v>
      </c>
      <c r="I8" s="19" t="s">
        <v>346</v>
      </c>
      <c r="J8" s="19" t="s">
        <v>368</v>
      </c>
      <c r="K8" s="70" t="s">
        <v>369</v>
      </c>
      <c r="L8" s="19" t="s">
        <v>329</v>
      </c>
      <c r="M8" s="19"/>
      <c r="N8" s="19" t="s">
        <v>370</v>
      </c>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row>
    <row r="9" spans="1:48" ht="100.8" x14ac:dyDescent="0.55000000000000004">
      <c r="A9" s="48" t="s">
        <v>371</v>
      </c>
      <c r="B9" s="47" t="s">
        <v>354</v>
      </c>
      <c r="C9" s="47" t="s">
        <v>372</v>
      </c>
      <c r="D9" s="47" t="s">
        <v>373</v>
      </c>
      <c r="E9" s="47" t="s">
        <v>374</v>
      </c>
      <c r="F9" s="65" t="s">
        <v>326</v>
      </c>
      <c r="G9" s="47"/>
      <c r="H9" s="47" t="s">
        <v>358</v>
      </c>
      <c r="I9" s="47" t="s">
        <v>329</v>
      </c>
      <c r="J9" s="47" t="s">
        <v>330</v>
      </c>
      <c r="K9" s="67" t="s">
        <v>375</v>
      </c>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row>
    <row r="10" spans="1:48" ht="158.4" x14ac:dyDescent="0.55000000000000004">
      <c r="A10" s="48" t="s">
        <v>376</v>
      </c>
      <c r="B10" s="19" t="s">
        <v>377</v>
      </c>
      <c r="C10" s="19" t="s">
        <v>378</v>
      </c>
      <c r="D10" s="19" t="s">
        <v>379</v>
      </c>
      <c r="E10" s="19" t="s">
        <v>374</v>
      </c>
      <c r="F10" s="56" t="s">
        <v>326</v>
      </c>
      <c r="G10" s="19"/>
      <c r="H10" s="19" t="s">
        <v>358</v>
      </c>
      <c r="I10" s="19" t="s">
        <v>329</v>
      </c>
      <c r="J10" s="19" t="s">
        <v>330</v>
      </c>
      <c r="K10" s="19" t="s">
        <v>380</v>
      </c>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row>
    <row r="11" spans="1:48" ht="144" x14ac:dyDescent="0.55000000000000004">
      <c r="A11" s="48" t="s">
        <v>381</v>
      </c>
      <c r="B11" s="47" t="s">
        <v>342</v>
      </c>
      <c r="C11" s="47" t="s">
        <v>382</v>
      </c>
      <c r="D11" s="47" t="s">
        <v>383</v>
      </c>
      <c r="E11" s="47" t="s">
        <v>384</v>
      </c>
      <c r="F11" s="65" t="s">
        <v>326</v>
      </c>
      <c r="G11" s="47"/>
      <c r="H11" s="47" t="s">
        <v>385</v>
      </c>
      <c r="I11" s="47" t="s">
        <v>346</v>
      </c>
      <c r="J11" s="47" t="s">
        <v>386</v>
      </c>
      <c r="K11" s="67" t="s">
        <v>387</v>
      </c>
      <c r="L11" s="47" t="s">
        <v>329</v>
      </c>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row>
    <row r="12" spans="1:48" ht="86.4" x14ac:dyDescent="0.55000000000000004">
      <c r="A12" s="71" t="s">
        <v>388</v>
      </c>
      <c r="B12" s="71" t="s">
        <v>333</v>
      </c>
      <c r="C12" s="71" t="s">
        <v>333</v>
      </c>
      <c r="D12" s="61" t="s">
        <v>389</v>
      </c>
      <c r="E12" s="71" t="s">
        <v>390</v>
      </c>
      <c r="F12" s="72" t="s">
        <v>326</v>
      </c>
      <c r="G12" s="71"/>
      <c r="H12" s="71" t="s">
        <v>391</v>
      </c>
      <c r="I12" s="71" t="s">
        <v>346</v>
      </c>
      <c r="J12" s="71" t="s">
        <v>392</v>
      </c>
      <c r="K12" s="74" t="s">
        <v>393</v>
      </c>
      <c r="L12" s="71" t="s">
        <v>329</v>
      </c>
      <c r="M12" s="71"/>
      <c r="N12" s="71" t="s">
        <v>394</v>
      </c>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row>
    <row r="13" spans="1:48" ht="72" x14ac:dyDescent="0.55000000000000004">
      <c r="A13" s="48" t="s">
        <v>395</v>
      </c>
      <c r="B13" s="47" t="s">
        <v>396</v>
      </c>
      <c r="C13" s="47" t="s">
        <v>397</v>
      </c>
      <c r="D13" s="47"/>
      <c r="E13" s="47" t="s">
        <v>330</v>
      </c>
      <c r="F13" s="65" t="s">
        <v>326</v>
      </c>
      <c r="G13" s="47"/>
      <c r="H13" s="47" t="s">
        <v>398</v>
      </c>
      <c r="I13" s="47" t="s">
        <v>329</v>
      </c>
      <c r="J13" s="47" t="s">
        <v>330</v>
      </c>
      <c r="K13" s="47" t="s">
        <v>399</v>
      </c>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row>
    <row r="14" spans="1:48" ht="187.2" x14ac:dyDescent="0.55000000000000004">
      <c r="A14" s="48" t="s">
        <v>181</v>
      </c>
      <c r="B14" s="19" t="s">
        <v>377</v>
      </c>
      <c r="C14" s="19" t="s">
        <v>378</v>
      </c>
      <c r="D14" s="19" t="s">
        <v>400</v>
      </c>
      <c r="E14" s="19" t="s">
        <v>401</v>
      </c>
      <c r="F14" s="56" t="s">
        <v>326</v>
      </c>
      <c r="G14" s="19"/>
      <c r="H14" s="19" t="s">
        <v>402</v>
      </c>
      <c r="I14" s="19" t="s">
        <v>346</v>
      </c>
      <c r="J14" s="19" t="s">
        <v>403</v>
      </c>
      <c r="K14" s="70" t="s">
        <v>25</v>
      </c>
      <c r="L14" s="48" t="s">
        <v>346</v>
      </c>
      <c r="M14" s="19" t="s">
        <v>329</v>
      </c>
      <c r="N14" s="19" t="s">
        <v>404</v>
      </c>
      <c r="O14" s="19" t="s">
        <v>349</v>
      </c>
      <c r="P14" s="19" t="s">
        <v>346</v>
      </c>
      <c r="Q14" s="75">
        <v>0</v>
      </c>
      <c r="R14" s="75">
        <v>4</v>
      </c>
      <c r="S14" s="75">
        <v>0</v>
      </c>
      <c r="T14" s="75">
        <v>0</v>
      </c>
      <c r="U14" s="75">
        <v>3</v>
      </c>
      <c r="V14" s="75">
        <v>0</v>
      </c>
      <c r="W14" s="19" t="s">
        <v>405</v>
      </c>
      <c r="X14" s="75">
        <v>0</v>
      </c>
      <c r="Y14" s="75">
        <v>0</v>
      </c>
      <c r="Z14" s="75">
        <v>0</v>
      </c>
      <c r="AA14" s="75">
        <v>0</v>
      </c>
      <c r="AB14" s="19" t="s">
        <v>406</v>
      </c>
      <c r="AC14" s="75">
        <v>0</v>
      </c>
      <c r="AD14" s="75">
        <v>0</v>
      </c>
      <c r="AE14" s="75">
        <v>0</v>
      </c>
      <c r="AF14" s="75">
        <v>0</v>
      </c>
      <c r="AG14" s="19" t="s">
        <v>352</v>
      </c>
      <c r="AH14" s="75">
        <v>0</v>
      </c>
      <c r="AI14" s="75">
        <v>0</v>
      </c>
      <c r="AJ14" s="75">
        <v>3</v>
      </c>
      <c r="AK14" s="75">
        <v>0</v>
      </c>
      <c r="AL14" s="19"/>
      <c r="AM14" s="75">
        <v>0</v>
      </c>
      <c r="AN14" s="75">
        <v>0</v>
      </c>
      <c r="AO14" s="75">
        <v>0</v>
      </c>
      <c r="AP14" s="75">
        <v>0</v>
      </c>
      <c r="AQ14" s="19"/>
      <c r="AR14" s="75">
        <v>0</v>
      </c>
      <c r="AS14" s="75">
        <v>0</v>
      </c>
      <c r="AT14" s="75">
        <v>3</v>
      </c>
      <c r="AU14" s="75">
        <v>0</v>
      </c>
      <c r="AV14" s="19"/>
    </row>
    <row r="15" spans="1:48" ht="100.8" x14ac:dyDescent="0.55000000000000004">
      <c r="A15" s="48" t="s">
        <v>407</v>
      </c>
      <c r="B15" s="47" t="s">
        <v>396</v>
      </c>
      <c r="C15" s="47" t="s">
        <v>408</v>
      </c>
      <c r="D15" s="47"/>
      <c r="E15" s="47" t="s">
        <v>330</v>
      </c>
      <c r="F15" s="65" t="s">
        <v>326</v>
      </c>
      <c r="G15" s="47"/>
      <c r="H15" s="47" t="s">
        <v>330</v>
      </c>
      <c r="I15" s="47" t="s">
        <v>346</v>
      </c>
      <c r="J15" s="47" t="s">
        <v>409</v>
      </c>
      <c r="K15" s="67" t="s">
        <v>410</v>
      </c>
      <c r="L15" s="47" t="s">
        <v>329</v>
      </c>
      <c r="M15" s="47"/>
      <c r="N15" s="47" t="s">
        <v>411</v>
      </c>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row>
    <row r="16" spans="1:48" ht="259.2" x14ac:dyDescent="0.55000000000000004">
      <c r="A16" s="48" t="s">
        <v>412</v>
      </c>
      <c r="B16" s="54" t="s">
        <v>337</v>
      </c>
      <c r="C16" s="19" t="s">
        <v>413</v>
      </c>
      <c r="D16" s="19" t="s">
        <v>414</v>
      </c>
      <c r="E16" s="19" t="s">
        <v>415</v>
      </c>
      <c r="F16" s="56" t="s">
        <v>326</v>
      </c>
      <c r="G16" s="19"/>
      <c r="H16" s="19" t="s">
        <v>416</v>
      </c>
      <c r="I16" s="19" t="s">
        <v>346</v>
      </c>
      <c r="J16" s="19" t="s">
        <v>417</v>
      </c>
      <c r="K16" s="70" t="s">
        <v>418</v>
      </c>
      <c r="L16" s="19" t="s">
        <v>329</v>
      </c>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row>
    <row r="17" spans="1:48" ht="115.2" x14ac:dyDescent="0.55000000000000004">
      <c r="A17" s="76" t="s">
        <v>182</v>
      </c>
      <c r="B17" s="47" t="s">
        <v>342</v>
      </c>
      <c r="C17" s="76" t="s">
        <v>419</v>
      </c>
      <c r="D17" s="76" t="s">
        <v>420</v>
      </c>
      <c r="E17" s="76" t="s">
        <v>421</v>
      </c>
      <c r="F17" s="77" t="s">
        <v>326</v>
      </c>
      <c r="G17" s="76"/>
      <c r="H17" s="76" t="s">
        <v>422</v>
      </c>
      <c r="I17" s="76" t="s">
        <v>346</v>
      </c>
      <c r="J17" s="76" t="s">
        <v>423</v>
      </c>
      <c r="K17" s="78" t="s">
        <v>26</v>
      </c>
      <c r="L17" s="48" t="s">
        <v>346</v>
      </c>
      <c r="M17" s="47" t="s">
        <v>329</v>
      </c>
      <c r="N17" s="76" t="s">
        <v>424</v>
      </c>
      <c r="O17" s="76" t="s">
        <v>425</v>
      </c>
      <c r="P17" s="76" t="s">
        <v>346</v>
      </c>
      <c r="Q17" s="79">
        <v>2</v>
      </c>
      <c r="R17" s="79">
        <v>4</v>
      </c>
      <c r="S17" s="79">
        <v>0</v>
      </c>
      <c r="T17" s="79">
        <v>0</v>
      </c>
      <c r="U17" s="79">
        <v>0</v>
      </c>
      <c r="V17" s="79">
        <v>0</v>
      </c>
      <c r="W17" s="76"/>
      <c r="X17" s="79">
        <v>0</v>
      </c>
      <c r="Y17" s="79">
        <v>0</v>
      </c>
      <c r="Z17" s="79">
        <v>0</v>
      </c>
      <c r="AA17" s="79">
        <v>0</v>
      </c>
      <c r="AB17" s="76" t="s">
        <v>426</v>
      </c>
      <c r="AC17" s="79">
        <v>0</v>
      </c>
      <c r="AD17" s="79">
        <v>0</v>
      </c>
      <c r="AE17" s="79">
        <v>0</v>
      </c>
      <c r="AF17" s="79">
        <v>0</v>
      </c>
      <c r="AG17" s="76" t="s">
        <v>352</v>
      </c>
      <c r="AH17" s="79">
        <v>0</v>
      </c>
      <c r="AI17" s="79">
        <v>0</v>
      </c>
      <c r="AJ17" s="79">
        <v>0</v>
      </c>
      <c r="AK17" s="79">
        <v>0</v>
      </c>
      <c r="AL17" s="76"/>
      <c r="AM17" s="79">
        <v>0</v>
      </c>
      <c r="AN17" s="79">
        <v>0</v>
      </c>
      <c r="AO17" s="79">
        <v>0</v>
      </c>
      <c r="AP17" s="79">
        <v>0</v>
      </c>
      <c r="AQ17" s="76"/>
      <c r="AR17" s="79">
        <v>0</v>
      </c>
      <c r="AS17" s="79">
        <v>0</v>
      </c>
      <c r="AT17" s="79" t="s">
        <v>427</v>
      </c>
      <c r="AU17" s="79" t="s">
        <v>427</v>
      </c>
      <c r="AV17" s="76"/>
    </row>
    <row r="18" spans="1:48" ht="72" x14ac:dyDescent="0.55000000000000004">
      <c r="A18" s="71" t="s">
        <v>428</v>
      </c>
      <c r="B18" s="71"/>
      <c r="C18" s="80" t="s">
        <v>333</v>
      </c>
      <c r="D18" s="71" t="s">
        <v>429</v>
      </c>
      <c r="E18" s="71" t="s">
        <v>430</v>
      </c>
      <c r="F18" s="72" t="s">
        <v>326</v>
      </c>
      <c r="G18" s="71"/>
      <c r="H18" s="71" t="s">
        <v>431</v>
      </c>
      <c r="I18" s="71" t="s">
        <v>329</v>
      </c>
      <c r="J18" s="71" t="s">
        <v>330</v>
      </c>
      <c r="K18" s="74" t="s">
        <v>432</v>
      </c>
      <c r="L18" s="71" t="s">
        <v>329</v>
      </c>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row>
    <row r="19" spans="1:48" ht="72" x14ac:dyDescent="0.55000000000000004">
      <c r="A19" s="48" t="s">
        <v>433</v>
      </c>
      <c r="B19" s="64" t="s">
        <v>337</v>
      </c>
      <c r="C19" s="47" t="s">
        <v>434</v>
      </c>
      <c r="D19" s="47" t="s">
        <v>435</v>
      </c>
      <c r="E19" s="47" t="s">
        <v>436</v>
      </c>
      <c r="F19" s="65" t="s">
        <v>326</v>
      </c>
      <c r="G19" s="47"/>
      <c r="H19" s="47" t="s">
        <v>431</v>
      </c>
      <c r="I19" s="47" t="s">
        <v>329</v>
      </c>
      <c r="J19" s="47" t="s">
        <v>330</v>
      </c>
      <c r="K19" s="47" t="s">
        <v>437</v>
      </c>
      <c r="L19" s="47" t="s">
        <v>329</v>
      </c>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row>
    <row r="20" spans="1:48" ht="129.6" x14ac:dyDescent="0.55000000000000004">
      <c r="A20" s="48" t="s">
        <v>438</v>
      </c>
      <c r="B20" s="19" t="s">
        <v>377</v>
      </c>
      <c r="C20" s="19" t="s">
        <v>378</v>
      </c>
      <c r="D20" s="19" t="s">
        <v>439</v>
      </c>
      <c r="E20" s="19" t="s">
        <v>330</v>
      </c>
      <c r="F20" s="56" t="s">
        <v>326</v>
      </c>
      <c r="G20" s="19"/>
      <c r="H20" s="19" t="s">
        <v>431</v>
      </c>
      <c r="I20" s="19" t="s">
        <v>329</v>
      </c>
      <c r="J20" s="19" t="s">
        <v>330</v>
      </c>
      <c r="K20" s="19" t="s">
        <v>440</v>
      </c>
      <c r="L20" s="19" t="s">
        <v>329</v>
      </c>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row>
    <row r="21" spans="1:48" ht="72" x14ac:dyDescent="0.55000000000000004">
      <c r="A21" s="71" t="s">
        <v>441</v>
      </c>
      <c r="B21" s="71" t="s">
        <v>442</v>
      </c>
      <c r="C21" s="80" t="s">
        <v>333</v>
      </c>
      <c r="D21" s="71" t="s">
        <v>443</v>
      </c>
      <c r="E21" s="71" t="s">
        <v>330</v>
      </c>
      <c r="F21" s="72" t="s">
        <v>326</v>
      </c>
      <c r="G21" s="71"/>
      <c r="H21" s="71" t="s">
        <v>431</v>
      </c>
      <c r="I21" s="71" t="s">
        <v>329</v>
      </c>
      <c r="J21" s="71" t="s">
        <v>330</v>
      </c>
      <c r="K21" s="71" t="s">
        <v>444</v>
      </c>
      <c r="L21" s="71" t="s">
        <v>329</v>
      </c>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71"/>
      <c r="AU21" s="71"/>
      <c r="AV21" s="71"/>
    </row>
    <row r="22" spans="1:48" ht="244.8" x14ac:dyDescent="0.55000000000000004">
      <c r="A22" s="48" t="s">
        <v>445</v>
      </c>
      <c r="B22" s="54" t="s">
        <v>337</v>
      </c>
      <c r="C22" s="19" t="s">
        <v>434</v>
      </c>
      <c r="D22" s="19" t="s">
        <v>435</v>
      </c>
      <c r="E22" s="19" t="s">
        <v>446</v>
      </c>
      <c r="F22" s="56" t="s">
        <v>326</v>
      </c>
      <c r="G22" s="19"/>
      <c r="H22" s="19" t="s">
        <v>431</v>
      </c>
      <c r="I22" s="19" t="s">
        <v>329</v>
      </c>
      <c r="J22" s="19" t="s">
        <v>330</v>
      </c>
      <c r="K22" s="19" t="s">
        <v>447</v>
      </c>
      <c r="L22" s="19" t="s">
        <v>329</v>
      </c>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row>
    <row r="23" spans="1:48" ht="158.4" x14ac:dyDescent="0.55000000000000004">
      <c r="A23" s="48" t="s">
        <v>448</v>
      </c>
      <c r="B23" s="64" t="s">
        <v>337</v>
      </c>
      <c r="C23" s="47" t="s">
        <v>434</v>
      </c>
      <c r="D23" s="47" t="s">
        <v>449</v>
      </c>
      <c r="E23" s="47" t="s">
        <v>450</v>
      </c>
      <c r="F23" s="65" t="s">
        <v>326</v>
      </c>
      <c r="G23" s="47"/>
      <c r="H23" s="47" t="s">
        <v>451</v>
      </c>
      <c r="I23" s="47" t="s">
        <v>329</v>
      </c>
      <c r="J23" s="47" t="s">
        <v>330</v>
      </c>
      <c r="K23" s="67" t="s">
        <v>452</v>
      </c>
      <c r="L23" s="47" t="s">
        <v>329</v>
      </c>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row>
    <row r="24" spans="1:48" ht="201.6" x14ac:dyDescent="0.55000000000000004">
      <c r="A24" s="48" t="s">
        <v>183</v>
      </c>
      <c r="B24" s="19" t="s">
        <v>453</v>
      </c>
      <c r="C24" s="19" t="s">
        <v>454</v>
      </c>
      <c r="D24" s="19" t="s">
        <v>455</v>
      </c>
      <c r="E24" s="19" t="s">
        <v>456</v>
      </c>
      <c r="F24" s="56" t="s">
        <v>326</v>
      </c>
      <c r="G24" s="19"/>
      <c r="H24" s="19" t="s">
        <v>457</v>
      </c>
      <c r="I24" s="19" t="s">
        <v>329</v>
      </c>
      <c r="J24" s="70" t="s">
        <v>458</v>
      </c>
      <c r="K24" s="70" t="s">
        <v>27</v>
      </c>
      <c r="L24" s="48" t="s">
        <v>346</v>
      </c>
      <c r="M24" s="19" t="s">
        <v>329</v>
      </c>
      <c r="N24" s="19" t="s">
        <v>459</v>
      </c>
      <c r="O24" s="19" t="s">
        <v>349</v>
      </c>
      <c r="P24" s="19" t="s">
        <v>346</v>
      </c>
      <c r="Q24" s="75">
        <v>0</v>
      </c>
      <c r="R24" s="75">
        <v>4</v>
      </c>
      <c r="S24" s="75">
        <v>0</v>
      </c>
      <c r="T24" s="75">
        <v>0</v>
      </c>
      <c r="U24" s="75">
        <v>0</v>
      </c>
      <c r="V24" s="75">
        <v>0</v>
      </c>
      <c r="W24" s="19" t="s">
        <v>460</v>
      </c>
      <c r="X24" s="75">
        <v>0</v>
      </c>
      <c r="Y24" s="75">
        <v>0</v>
      </c>
      <c r="Z24" s="75">
        <v>0</v>
      </c>
      <c r="AA24" s="75">
        <v>0</v>
      </c>
      <c r="AB24" s="19"/>
      <c r="AC24" s="75">
        <v>0</v>
      </c>
      <c r="AD24" s="75">
        <v>0</v>
      </c>
      <c r="AE24" s="75">
        <v>0</v>
      </c>
      <c r="AF24" s="75">
        <v>0</v>
      </c>
      <c r="AG24" s="19" t="s">
        <v>352</v>
      </c>
      <c r="AH24" s="75">
        <v>0</v>
      </c>
      <c r="AI24" s="75">
        <v>0</v>
      </c>
      <c r="AJ24" s="75">
        <v>0</v>
      </c>
      <c r="AK24" s="75">
        <v>0</v>
      </c>
      <c r="AL24" s="19"/>
      <c r="AM24" s="75">
        <v>0</v>
      </c>
      <c r="AN24" s="75">
        <v>0</v>
      </c>
      <c r="AO24" s="75">
        <v>0</v>
      </c>
      <c r="AP24" s="75">
        <v>0</v>
      </c>
      <c r="AQ24" s="19"/>
      <c r="AR24" s="75">
        <v>0</v>
      </c>
      <c r="AS24" s="75">
        <v>0</v>
      </c>
      <c r="AT24" s="75">
        <v>0</v>
      </c>
      <c r="AU24" s="75">
        <v>0</v>
      </c>
      <c r="AV24" s="19"/>
    </row>
    <row r="25" spans="1:48" ht="230.4" x14ac:dyDescent="0.55000000000000004">
      <c r="A25" s="48" t="s">
        <v>186</v>
      </c>
      <c r="B25" s="47" t="s">
        <v>342</v>
      </c>
      <c r="C25" s="47" t="s">
        <v>343</v>
      </c>
      <c r="D25" s="47" t="s">
        <v>461</v>
      </c>
      <c r="E25" s="47" t="s">
        <v>462</v>
      </c>
      <c r="F25" s="65" t="s">
        <v>326</v>
      </c>
      <c r="G25" s="47"/>
      <c r="H25" s="47" t="s">
        <v>463</v>
      </c>
      <c r="I25" s="47" t="s">
        <v>346</v>
      </c>
      <c r="J25" s="47" t="s">
        <v>464</v>
      </c>
      <c r="K25" s="67" t="s">
        <v>28</v>
      </c>
      <c r="L25" s="48" t="s">
        <v>346</v>
      </c>
      <c r="M25" s="47" t="s">
        <v>329</v>
      </c>
      <c r="N25" s="47" t="s">
        <v>465</v>
      </c>
      <c r="O25" s="47" t="s">
        <v>349</v>
      </c>
      <c r="P25" s="47" t="s">
        <v>346</v>
      </c>
      <c r="Q25" s="68">
        <v>2</v>
      </c>
      <c r="R25" s="68">
        <v>4</v>
      </c>
      <c r="S25" s="68">
        <v>0</v>
      </c>
      <c r="T25" s="68">
        <v>0</v>
      </c>
      <c r="U25" s="68">
        <v>3</v>
      </c>
      <c r="V25" s="68">
        <v>3</v>
      </c>
      <c r="W25" s="47" t="s">
        <v>466</v>
      </c>
      <c r="X25" s="68">
        <v>0</v>
      </c>
      <c r="Y25" s="68">
        <v>0</v>
      </c>
      <c r="Z25" s="68">
        <v>3</v>
      </c>
      <c r="AA25" s="68">
        <v>3</v>
      </c>
      <c r="AB25" s="47" t="s">
        <v>467</v>
      </c>
      <c r="AC25" s="68">
        <v>0</v>
      </c>
      <c r="AD25" s="68">
        <v>0</v>
      </c>
      <c r="AE25" s="68">
        <v>0</v>
      </c>
      <c r="AF25" s="68">
        <v>0</v>
      </c>
      <c r="AG25" s="47" t="s">
        <v>352</v>
      </c>
      <c r="AH25" s="68">
        <v>1</v>
      </c>
      <c r="AI25" s="68">
        <v>1</v>
      </c>
      <c r="AJ25" s="68">
        <v>3</v>
      </c>
      <c r="AK25" s="68">
        <v>3</v>
      </c>
      <c r="AL25" s="47"/>
      <c r="AM25" s="68">
        <v>0</v>
      </c>
      <c r="AN25" s="68">
        <v>0</v>
      </c>
      <c r="AO25" s="68">
        <v>0</v>
      </c>
      <c r="AP25" s="68">
        <v>0</v>
      </c>
      <c r="AQ25" s="47"/>
      <c r="AR25" s="68" t="s">
        <v>468</v>
      </c>
      <c r="AS25" s="68" t="s">
        <v>468</v>
      </c>
      <c r="AT25" s="68">
        <v>2</v>
      </c>
      <c r="AU25" s="68">
        <v>2</v>
      </c>
      <c r="AV25" s="47"/>
    </row>
    <row r="26" spans="1:48" ht="72" x14ac:dyDescent="0.55000000000000004">
      <c r="A26" s="48" t="s">
        <v>469</v>
      </c>
      <c r="B26" s="19" t="s">
        <v>354</v>
      </c>
      <c r="C26" s="19" t="s">
        <v>355</v>
      </c>
      <c r="D26" s="19" t="s">
        <v>470</v>
      </c>
      <c r="E26" s="19" t="s">
        <v>330</v>
      </c>
      <c r="F26" s="56" t="s">
        <v>326</v>
      </c>
      <c r="G26" s="19"/>
      <c r="H26" s="19" t="s">
        <v>471</v>
      </c>
      <c r="I26" s="19" t="s">
        <v>329</v>
      </c>
      <c r="J26" s="19" t="s">
        <v>330</v>
      </c>
      <c r="K26" s="19" t="s">
        <v>472</v>
      </c>
      <c r="L26" s="19" t="s">
        <v>329</v>
      </c>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row>
    <row r="27" spans="1:48" ht="129.6" x14ac:dyDescent="0.55000000000000004">
      <c r="A27" s="48" t="s">
        <v>473</v>
      </c>
      <c r="B27" s="64" t="s">
        <v>337</v>
      </c>
      <c r="C27" s="47" t="s">
        <v>434</v>
      </c>
      <c r="D27" s="47" t="s">
        <v>474</v>
      </c>
      <c r="E27" s="47" t="s">
        <v>330</v>
      </c>
      <c r="F27" s="65" t="s">
        <v>326</v>
      </c>
      <c r="G27" s="47"/>
      <c r="H27" s="47" t="s">
        <v>475</v>
      </c>
      <c r="I27" s="47" t="s">
        <v>329</v>
      </c>
      <c r="J27" s="47" t="s">
        <v>330</v>
      </c>
      <c r="K27" s="67" t="s">
        <v>476</v>
      </c>
      <c r="L27" s="47" t="s">
        <v>329</v>
      </c>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row>
    <row r="28" spans="1:48" ht="129.6" x14ac:dyDescent="0.55000000000000004">
      <c r="A28" s="48" t="s">
        <v>477</v>
      </c>
      <c r="B28" s="54" t="s">
        <v>337</v>
      </c>
      <c r="C28" s="19" t="s">
        <v>434</v>
      </c>
      <c r="D28" s="19" t="s">
        <v>478</v>
      </c>
      <c r="E28" s="19" t="s">
        <v>479</v>
      </c>
      <c r="F28" s="56" t="s">
        <v>326</v>
      </c>
      <c r="G28" s="19"/>
      <c r="H28" s="19" t="s">
        <v>480</v>
      </c>
      <c r="I28" s="19" t="s">
        <v>329</v>
      </c>
      <c r="J28" s="19" t="s">
        <v>330</v>
      </c>
      <c r="K28" s="70" t="s">
        <v>481</v>
      </c>
      <c r="L28" s="19" t="s">
        <v>329</v>
      </c>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row>
    <row r="29" spans="1:48" ht="187.2" x14ac:dyDescent="0.55000000000000004">
      <c r="A29" s="48" t="s">
        <v>482</v>
      </c>
      <c r="B29" s="47" t="s">
        <v>354</v>
      </c>
      <c r="C29" s="47" t="s">
        <v>372</v>
      </c>
      <c r="D29" s="47" t="s">
        <v>483</v>
      </c>
      <c r="E29" s="47" t="s">
        <v>484</v>
      </c>
      <c r="F29" s="65" t="s">
        <v>326</v>
      </c>
      <c r="G29" s="47"/>
      <c r="H29" s="47" t="s">
        <v>485</v>
      </c>
      <c r="I29" s="47" t="s">
        <v>346</v>
      </c>
      <c r="J29" s="47" t="s">
        <v>486</v>
      </c>
      <c r="K29" s="67" t="s">
        <v>487</v>
      </c>
      <c r="L29" s="47" t="s">
        <v>329</v>
      </c>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row>
    <row r="30" spans="1:48" ht="172.8" x14ac:dyDescent="0.55000000000000004">
      <c r="A30" s="48" t="s">
        <v>488</v>
      </c>
      <c r="B30" s="19" t="s">
        <v>342</v>
      </c>
      <c r="C30" s="19" t="s">
        <v>343</v>
      </c>
      <c r="D30" s="19" t="s">
        <v>489</v>
      </c>
      <c r="E30" s="19" t="s">
        <v>490</v>
      </c>
      <c r="F30" s="56" t="s">
        <v>326</v>
      </c>
      <c r="G30" s="19"/>
      <c r="H30" s="19" t="s">
        <v>491</v>
      </c>
      <c r="I30" s="19" t="s">
        <v>346</v>
      </c>
      <c r="J30" s="19" t="s">
        <v>492</v>
      </c>
      <c r="K30" s="70" t="s">
        <v>493</v>
      </c>
      <c r="L30" s="19" t="s">
        <v>329</v>
      </c>
      <c r="M30" s="19"/>
      <c r="N30" s="19" t="s">
        <v>494</v>
      </c>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row>
    <row r="31" spans="1:48" ht="115.2" x14ac:dyDescent="0.55000000000000004">
      <c r="A31" s="48" t="s">
        <v>187</v>
      </c>
      <c r="B31" s="47" t="s">
        <v>396</v>
      </c>
      <c r="C31" s="47" t="s">
        <v>397</v>
      </c>
      <c r="D31" s="47"/>
      <c r="E31" s="47" t="s">
        <v>495</v>
      </c>
      <c r="F31" s="65" t="s">
        <v>326</v>
      </c>
      <c r="G31" s="47"/>
      <c r="H31" s="47" t="s">
        <v>496</v>
      </c>
      <c r="I31" s="47" t="s">
        <v>346</v>
      </c>
      <c r="J31" s="67" t="s">
        <v>497</v>
      </c>
      <c r="K31" s="67" t="s">
        <v>29</v>
      </c>
      <c r="L31" s="48" t="s">
        <v>346</v>
      </c>
      <c r="M31" s="47" t="s">
        <v>329</v>
      </c>
      <c r="N31" s="47" t="s">
        <v>498</v>
      </c>
      <c r="O31" s="47"/>
      <c r="P31" s="47" t="s">
        <v>346</v>
      </c>
      <c r="Q31" s="68">
        <v>0</v>
      </c>
      <c r="R31" s="68">
        <v>4</v>
      </c>
      <c r="S31" s="68">
        <v>0</v>
      </c>
      <c r="T31" s="68">
        <v>0</v>
      </c>
      <c r="U31" s="68">
        <v>0</v>
      </c>
      <c r="V31" s="68">
        <v>0</v>
      </c>
      <c r="W31" s="47"/>
      <c r="X31" s="68">
        <v>0</v>
      </c>
      <c r="Y31" s="68">
        <v>0</v>
      </c>
      <c r="Z31" s="68">
        <v>0</v>
      </c>
      <c r="AA31" s="68">
        <v>0</v>
      </c>
      <c r="AB31" s="47" t="s">
        <v>351</v>
      </c>
      <c r="AC31" s="68">
        <v>0</v>
      </c>
      <c r="AD31" s="68">
        <v>0</v>
      </c>
      <c r="AE31" s="68">
        <v>0</v>
      </c>
      <c r="AF31" s="68">
        <v>0</v>
      </c>
      <c r="AG31" s="47" t="s">
        <v>352</v>
      </c>
      <c r="AH31" s="68">
        <v>0</v>
      </c>
      <c r="AI31" s="68">
        <v>0</v>
      </c>
      <c r="AJ31" s="68">
        <v>0</v>
      </c>
      <c r="AK31" s="68">
        <v>0</v>
      </c>
      <c r="AL31" s="47"/>
      <c r="AM31" s="68">
        <v>0</v>
      </c>
      <c r="AN31" s="68">
        <v>0</v>
      </c>
      <c r="AO31" s="68">
        <v>0</v>
      </c>
      <c r="AP31" s="68">
        <v>0</v>
      </c>
      <c r="AQ31" s="47"/>
      <c r="AR31" s="68">
        <v>0</v>
      </c>
      <c r="AS31" s="68">
        <v>0</v>
      </c>
      <c r="AT31" s="68">
        <v>0</v>
      </c>
      <c r="AU31" s="68">
        <v>0</v>
      </c>
      <c r="AV31" s="47"/>
    </row>
    <row r="32" spans="1:48" ht="158.4" x14ac:dyDescent="0.55000000000000004">
      <c r="A32" s="48" t="s">
        <v>499</v>
      </c>
      <c r="B32" s="19" t="s">
        <v>377</v>
      </c>
      <c r="C32" s="19" t="s">
        <v>378</v>
      </c>
      <c r="D32" s="19" t="s">
        <v>379</v>
      </c>
      <c r="E32" s="19" t="s">
        <v>500</v>
      </c>
      <c r="F32" s="56" t="s">
        <v>326</v>
      </c>
      <c r="G32" s="19"/>
      <c r="H32" s="19" t="s">
        <v>501</v>
      </c>
      <c r="I32" s="19" t="s">
        <v>346</v>
      </c>
      <c r="J32" s="19" t="s">
        <v>502</v>
      </c>
      <c r="K32" s="70" t="s">
        <v>503</v>
      </c>
      <c r="L32" s="19" t="s">
        <v>329</v>
      </c>
      <c r="M32" s="19"/>
      <c r="N32" s="19" t="s">
        <v>504</v>
      </c>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row>
    <row r="33" spans="1:48" ht="345.6" x14ac:dyDescent="0.55000000000000004">
      <c r="A33" s="48" t="s">
        <v>189</v>
      </c>
      <c r="B33" s="47" t="s">
        <v>396</v>
      </c>
      <c r="C33" s="47" t="s">
        <v>408</v>
      </c>
      <c r="D33" s="81" t="s">
        <v>505</v>
      </c>
      <c r="E33" s="47" t="s">
        <v>506</v>
      </c>
      <c r="F33" s="65" t="s">
        <v>326</v>
      </c>
      <c r="G33" s="47"/>
      <c r="H33" s="47" t="s">
        <v>507</v>
      </c>
      <c r="I33" s="47" t="s">
        <v>346</v>
      </c>
      <c r="J33" s="67" t="s">
        <v>508</v>
      </c>
      <c r="K33" s="67" t="s">
        <v>30</v>
      </c>
      <c r="L33" s="48" t="s">
        <v>346</v>
      </c>
      <c r="M33" s="47" t="s">
        <v>329</v>
      </c>
      <c r="N33" s="47"/>
      <c r="O33" s="47" t="s">
        <v>349</v>
      </c>
      <c r="P33" s="47" t="s">
        <v>346</v>
      </c>
      <c r="Q33" s="68">
        <v>3</v>
      </c>
      <c r="R33" s="68">
        <v>4</v>
      </c>
      <c r="S33" s="68">
        <v>3</v>
      </c>
      <c r="T33" s="68">
        <v>0</v>
      </c>
      <c r="U33" s="68">
        <v>3</v>
      </c>
      <c r="V33" s="68">
        <v>3</v>
      </c>
      <c r="W33" s="47" t="s">
        <v>509</v>
      </c>
      <c r="X33" s="68" t="s">
        <v>510</v>
      </c>
      <c r="Y33" s="68">
        <v>0</v>
      </c>
      <c r="Z33" s="68">
        <v>0</v>
      </c>
      <c r="AA33" s="68">
        <v>0</v>
      </c>
      <c r="AB33" s="47" t="s">
        <v>351</v>
      </c>
      <c r="AC33" s="68">
        <v>1</v>
      </c>
      <c r="AD33" s="68">
        <v>0</v>
      </c>
      <c r="AE33" s="68">
        <v>3</v>
      </c>
      <c r="AF33" s="68">
        <v>3</v>
      </c>
      <c r="AG33" s="47" t="s">
        <v>352</v>
      </c>
      <c r="AH33" s="68">
        <v>1</v>
      </c>
      <c r="AI33" s="68">
        <v>0</v>
      </c>
      <c r="AJ33" s="68">
        <v>3</v>
      </c>
      <c r="AK33" s="68">
        <v>3</v>
      </c>
      <c r="AL33" s="47"/>
      <c r="AM33" s="68">
        <v>0</v>
      </c>
      <c r="AN33" s="68">
        <v>0</v>
      </c>
      <c r="AO33" s="68">
        <v>0</v>
      </c>
      <c r="AP33" s="68">
        <v>0</v>
      </c>
      <c r="AQ33" s="47"/>
      <c r="AR33" s="68">
        <v>1</v>
      </c>
      <c r="AS33" s="68">
        <v>0</v>
      </c>
      <c r="AT33" s="68">
        <v>3</v>
      </c>
      <c r="AU33" s="68">
        <v>3</v>
      </c>
      <c r="AV33" s="47"/>
    </row>
    <row r="34" spans="1:48" ht="409.5" x14ac:dyDescent="0.55000000000000004">
      <c r="A34" s="48" t="s">
        <v>190</v>
      </c>
      <c r="B34" s="54" t="s">
        <v>337</v>
      </c>
      <c r="C34" s="63" t="s">
        <v>511</v>
      </c>
      <c r="D34" s="19" t="s">
        <v>512</v>
      </c>
      <c r="E34" s="19" t="s">
        <v>513</v>
      </c>
      <c r="F34" s="56" t="s">
        <v>326</v>
      </c>
      <c r="G34" s="19"/>
      <c r="H34" s="19" t="s">
        <v>514</v>
      </c>
      <c r="I34" s="19" t="s">
        <v>346</v>
      </c>
      <c r="J34" s="70" t="s">
        <v>515</v>
      </c>
      <c r="K34" s="70" t="s">
        <v>31</v>
      </c>
      <c r="L34" s="48" t="s">
        <v>346</v>
      </c>
      <c r="M34" s="19" t="s">
        <v>329</v>
      </c>
      <c r="N34" s="19" t="s">
        <v>516</v>
      </c>
      <c r="O34" s="19" t="s">
        <v>517</v>
      </c>
      <c r="P34" s="19" t="s">
        <v>346</v>
      </c>
      <c r="Q34" s="75">
        <v>3</v>
      </c>
      <c r="R34" s="75">
        <v>4</v>
      </c>
      <c r="S34" s="75">
        <v>0</v>
      </c>
      <c r="T34" s="75">
        <v>0</v>
      </c>
      <c r="U34" s="75">
        <v>0</v>
      </c>
      <c r="V34" s="75">
        <v>0</v>
      </c>
      <c r="W34" s="19" t="s">
        <v>518</v>
      </c>
      <c r="X34" s="75" t="s">
        <v>510</v>
      </c>
      <c r="Y34" s="75">
        <v>0</v>
      </c>
      <c r="Z34" s="75">
        <v>3</v>
      </c>
      <c r="AA34" s="75">
        <v>3</v>
      </c>
      <c r="AB34" s="19" t="s">
        <v>519</v>
      </c>
      <c r="AC34" s="75">
        <v>0</v>
      </c>
      <c r="AD34" s="75">
        <v>0</v>
      </c>
      <c r="AE34" s="75">
        <v>0</v>
      </c>
      <c r="AF34" s="75">
        <v>0</v>
      </c>
      <c r="AG34" s="19" t="s">
        <v>520</v>
      </c>
      <c r="AH34" s="75">
        <v>0</v>
      </c>
      <c r="AI34" s="75">
        <v>0</v>
      </c>
      <c r="AJ34" s="75">
        <v>0</v>
      </c>
      <c r="AK34" s="75">
        <v>0</v>
      </c>
      <c r="AL34" s="19"/>
      <c r="AM34" s="75">
        <v>0</v>
      </c>
      <c r="AN34" s="75">
        <v>0</v>
      </c>
      <c r="AO34" s="75">
        <v>0</v>
      </c>
      <c r="AP34" s="75">
        <v>0</v>
      </c>
      <c r="AQ34" s="19"/>
      <c r="AR34" s="75">
        <v>0</v>
      </c>
      <c r="AS34" s="75">
        <v>0</v>
      </c>
      <c r="AT34" s="75">
        <v>0</v>
      </c>
      <c r="AU34" s="75">
        <v>0</v>
      </c>
      <c r="AV34" s="19"/>
    </row>
    <row r="35" spans="1:48" ht="72" x14ac:dyDescent="0.55000000000000004">
      <c r="A35" s="48" t="s">
        <v>191</v>
      </c>
      <c r="B35" s="47" t="s">
        <v>377</v>
      </c>
      <c r="C35" s="47" t="s">
        <v>378</v>
      </c>
      <c r="D35" s="47" t="s">
        <v>400</v>
      </c>
      <c r="E35" s="47" t="s">
        <v>521</v>
      </c>
      <c r="F35" s="65" t="s">
        <v>326</v>
      </c>
      <c r="G35" s="47"/>
      <c r="H35" s="47" t="s">
        <v>522</v>
      </c>
      <c r="I35" s="47" t="s">
        <v>346</v>
      </c>
      <c r="J35" s="67" t="s">
        <v>523</v>
      </c>
      <c r="K35" s="67" t="s">
        <v>32</v>
      </c>
      <c r="L35" s="48" t="s">
        <v>346</v>
      </c>
      <c r="M35" s="47" t="s">
        <v>329</v>
      </c>
      <c r="N35" s="47" t="s">
        <v>524</v>
      </c>
      <c r="O35" s="47"/>
      <c r="P35" s="47" t="s">
        <v>346</v>
      </c>
      <c r="Q35" s="68">
        <v>3</v>
      </c>
      <c r="R35" s="68">
        <v>4</v>
      </c>
      <c r="S35" s="68">
        <v>0</v>
      </c>
      <c r="T35" s="68">
        <v>0</v>
      </c>
      <c r="U35" s="68">
        <v>0</v>
      </c>
      <c r="V35" s="68">
        <v>0</v>
      </c>
      <c r="W35" s="47"/>
      <c r="X35" s="68">
        <v>0</v>
      </c>
      <c r="Y35" s="68">
        <v>0</v>
      </c>
      <c r="Z35" s="68">
        <v>0</v>
      </c>
      <c r="AA35" s="68">
        <v>0</v>
      </c>
      <c r="AB35" s="47" t="s">
        <v>406</v>
      </c>
      <c r="AC35" s="68">
        <v>0</v>
      </c>
      <c r="AD35" s="68">
        <v>0</v>
      </c>
      <c r="AE35" s="68">
        <v>0</v>
      </c>
      <c r="AF35" s="68">
        <v>0</v>
      </c>
      <c r="AG35" s="47" t="s">
        <v>352</v>
      </c>
      <c r="AH35" s="68">
        <v>0</v>
      </c>
      <c r="AI35" s="68">
        <v>0</v>
      </c>
      <c r="AJ35" s="68" t="s">
        <v>525</v>
      </c>
      <c r="AK35" s="68" t="s">
        <v>525</v>
      </c>
      <c r="AL35" s="47"/>
      <c r="AM35" s="68">
        <v>0</v>
      </c>
      <c r="AN35" s="68">
        <v>0</v>
      </c>
      <c r="AO35" s="68">
        <v>0</v>
      </c>
      <c r="AP35" s="68">
        <v>0</v>
      </c>
      <c r="AQ35" s="47"/>
      <c r="AR35" s="68">
        <v>0</v>
      </c>
      <c r="AS35" s="68">
        <v>0</v>
      </c>
      <c r="AT35" s="68" t="s">
        <v>526</v>
      </c>
      <c r="AU35" s="68" t="s">
        <v>526</v>
      </c>
      <c r="AV35" s="47"/>
    </row>
    <row r="36" spans="1:48" ht="100.8" x14ac:dyDescent="0.55000000000000004">
      <c r="A36" s="48" t="s">
        <v>527</v>
      </c>
      <c r="B36" s="19" t="s">
        <v>396</v>
      </c>
      <c r="C36" s="19" t="s">
        <v>408</v>
      </c>
      <c r="D36" s="19" t="s">
        <v>528</v>
      </c>
      <c r="E36" s="19" t="s">
        <v>529</v>
      </c>
      <c r="F36" s="56" t="s">
        <v>326</v>
      </c>
      <c r="G36" s="19"/>
      <c r="H36" s="19" t="s">
        <v>530</v>
      </c>
      <c r="I36" s="19" t="s">
        <v>346</v>
      </c>
      <c r="J36" s="70" t="s">
        <v>531</v>
      </c>
      <c r="K36" s="70" t="s">
        <v>532</v>
      </c>
      <c r="L36" s="19" t="s">
        <v>329</v>
      </c>
      <c r="M36" s="19"/>
      <c r="N36" s="19" t="s">
        <v>533</v>
      </c>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row>
    <row r="37" spans="1:48" ht="172.8" x14ac:dyDescent="0.55000000000000004">
      <c r="A37" s="48" t="s">
        <v>534</v>
      </c>
      <c r="B37" s="47" t="s">
        <v>377</v>
      </c>
      <c r="C37" s="47" t="s">
        <v>378</v>
      </c>
      <c r="D37" s="47" t="s">
        <v>400</v>
      </c>
      <c r="E37" s="47" t="s">
        <v>535</v>
      </c>
      <c r="F37" s="65" t="s">
        <v>326</v>
      </c>
      <c r="G37" s="47"/>
      <c r="H37" s="47" t="s">
        <v>536</v>
      </c>
      <c r="I37" s="47" t="s">
        <v>329</v>
      </c>
      <c r="J37" s="67" t="s">
        <v>537</v>
      </c>
      <c r="K37" s="67" t="s">
        <v>538</v>
      </c>
      <c r="L37" s="48" t="s">
        <v>346</v>
      </c>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row>
    <row r="38" spans="1:48" ht="216" x14ac:dyDescent="0.55000000000000004">
      <c r="A38" s="48" t="s">
        <v>539</v>
      </c>
      <c r="B38" s="54" t="s">
        <v>337</v>
      </c>
      <c r="C38" s="19" t="s">
        <v>434</v>
      </c>
      <c r="D38" s="19" t="s">
        <v>540</v>
      </c>
      <c r="E38" s="19" t="s">
        <v>541</v>
      </c>
      <c r="F38" s="56" t="s">
        <v>326</v>
      </c>
      <c r="G38" s="19"/>
      <c r="H38" s="19" t="s">
        <v>542</v>
      </c>
      <c r="I38" s="19" t="s">
        <v>346</v>
      </c>
      <c r="J38" s="70" t="s">
        <v>543</v>
      </c>
      <c r="K38" s="70" t="s">
        <v>544</v>
      </c>
      <c r="L38" s="19" t="s">
        <v>329</v>
      </c>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row>
    <row r="39" spans="1:48" ht="100.8" x14ac:dyDescent="0.55000000000000004">
      <c r="A39" s="48" t="s">
        <v>545</v>
      </c>
      <c r="B39" s="47" t="s">
        <v>354</v>
      </c>
      <c r="C39" s="47" t="s">
        <v>372</v>
      </c>
      <c r="D39" s="47" t="s">
        <v>546</v>
      </c>
      <c r="E39" s="47" t="s">
        <v>547</v>
      </c>
      <c r="F39" s="65" t="s">
        <v>326</v>
      </c>
      <c r="G39" s="47"/>
      <c r="H39" s="47" t="s">
        <v>548</v>
      </c>
      <c r="I39" s="47" t="s">
        <v>346</v>
      </c>
      <c r="J39" s="67" t="s">
        <v>549</v>
      </c>
      <c r="K39" s="67" t="s">
        <v>550</v>
      </c>
      <c r="L39" s="47" t="s">
        <v>329</v>
      </c>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row>
    <row r="40" spans="1:48" ht="72" x14ac:dyDescent="0.55000000000000004">
      <c r="A40" s="61" t="s">
        <v>551</v>
      </c>
      <c r="B40" s="61" t="s">
        <v>333</v>
      </c>
      <c r="C40" s="82" t="s">
        <v>333</v>
      </c>
      <c r="D40" s="61" t="s">
        <v>389</v>
      </c>
      <c r="E40" s="61" t="s">
        <v>552</v>
      </c>
      <c r="F40" s="83" t="s">
        <v>326</v>
      </c>
      <c r="G40" s="61"/>
      <c r="H40" s="61" t="s">
        <v>552</v>
      </c>
      <c r="I40" s="61" t="s">
        <v>346</v>
      </c>
      <c r="J40" s="84" t="s">
        <v>553</v>
      </c>
      <c r="K40" s="84" t="s">
        <v>554</v>
      </c>
      <c r="L40" s="61" t="s">
        <v>329</v>
      </c>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row>
    <row r="41" spans="1:48" ht="138.6" x14ac:dyDescent="0.55000000000000004">
      <c r="A41" s="48" t="s">
        <v>555</v>
      </c>
      <c r="B41" s="47" t="s">
        <v>354</v>
      </c>
      <c r="C41" s="47" t="s">
        <v>372</v>
      </c>
      <c r="D41" s="81" t="s">
        <v>556</v>
      </c>
      <c r="E41" s="47" t="s">
        <v>557</v>
      </c>
      <c r="F41" s="65" t="s">
        <v>326</v>
      </c>
      <c r="G41" s="47"/>
      <c r="H41" s="47" t="s">
        <v>558</v>
      </c>
      <c r="I41" s="47" t="s">
        <v>346</v>
      </c>
      <c r="J41" s="67" t="s">
        <v>559</v>
      </c>
      <c r="K41" s="67" t="s">
        <v>560</v>
      </c>
      <c r="L41" s="47" t="s">
        <v>329</v>
      </c>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row>
    <row r="42" spans="1:48" ht="129.6" x14ac:dyDescent="0.55000000000000004">
      <c r="A42" s="48" t="s">
        <v>561</v>
      </c>
      <c r="B42" s="19" t="s">
        <v>396</v>
      </c>
      <c r="C42" s="19" t="s">
        <v>397</v>
      </c>
      <c r="D42" s="19" t="s">
        <v>562</v>
      </c>
      <c r="E42" s="19" t="s">
        <v>563</v>
      </c>
      <c r="F42" s="56" t="s">
        <v>326</v>
      </c>
      <c r="G42" s="19"/>
      <c r="H42" s="19" t="s">
        <v>564</v>
      </c>
      <c r="I42" s="19" t="s">
        <v>346</v>
      </c>
      <c r="J42" s="70" t="s">
        <v>565</v>
      </c>
      <c r="K42" s="70" t="s">
        <v>566</v>
      </c>
      <c r="L42" s="19" t="s">
        <v>329</v>
      </c>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row>
    <row r="43" spans="1:48" ht="115.2" x14ac:dyDescent="0.55000000000000004">
      <c r="A43" s="48" t="s">
        <v>567</v>
      </c>
      <c r="B43" s="47" t="s">
        <v>568</v>
      </c>
      <c r="C43" s="85" t="s">
        <v>569</v>
      </c>
      <c r="D43" s="47" t="s">
        <v>570</v>
      </c>
      <c r="E43" s="47" t="s">
        <v>571</v>
      </c>
      <c r="F43" s="65" t="s">
        <v>326</v>
      </c>
      <c r="G43" s="47"/>
      <c r="H43" s="47" t="s">
        <v>572</v>
      </c>
      <c r="I43" s="47" t="s">
        <v>346</v>
      </c>
      <c r="J43" s="67" t="s">
        <v>573</v>
      </c>
      <c r="K43" s="67" t="s">
        <v>574</v>
      </c>
      <c r="L43" s="47" t="s">
        <v>329</v>
      </c>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row>
    <row r="44" spans="1:48" ht="172.8" x14ac:dyDescent="0.55000000000000004">
      <c r="A44" s="48" t="s">
        <v>575</v>
      </c>
      <c r="B44" s="19" t="s">
        <v>396</v>
      </c>
      <c r="C44" s="63" t="s">
        <v>576</v>
      </c>
      <c r="D44" s="19" t="s">
        <v>577</v>
      </c>
      <c r="E44" s="19" t="s">
        <v>578</v>
      </c>
      <c r="F44" s="56" t="s">
        <v>326</v>
      </c>
      <c r="G44" s="19"/>
      <c r="H44" s="19" t="s">
        <v>579</v>
      </c>
      <c r="I44" s="19" t="s">
        <v>346</v>
      </c>
      <c r="J44" s="70" t="s">
        <v>580</v>
      </c>
      <c r="K44" s="70" t="s">
        <v>581</v>
      </c>
      <c r="L44" s="19" t="s">
        <v>329</v>
      </c>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row>
    <row r="45" spans="1:48" ht="172.8" x14ac:dyDescent="0.55000000000000004">
      <c r="A45" s="48" t="s">
        <v>582</v>
      </c>
      <c r="B45" s="47" t="s">
        <v>377</v>
      </c>
      <c r="C45" s="47" t="s">
        <v>378</v>
      </c>
      <c r="D45" s="47" t="s">
        <v>400</v>
      </c>
      <c r="E45" s="47" t="s">
        <v>583</v>
      </c>
      <c r="F45" s="65" t="s">
        <v>326</v>
      </c>
      <c r="G45" s="47"/>
      <c r="H45" s="47" t="s">
        <v>584</v>
      </c>
      <c r="I45" s="47" t="s">
        <v>346</v>
      </c>
      <c r="J45" s="67" t="s">
        <v>585</v>
      </c>
      <c r="K45" s="67" t="s">
        <v>586</v>
      </c>
      <c r="L45" s="47" t="s">
        <v>329</v>
      </c>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row>
    <row r="46" spans="1:48" ht="193.8" x14ac:dyDescent="0.55000000000000004">
      <c r="A46" s="48" t="s">
        <v>280</v>
      </c>
      <c r="B46" s="54" t="s">
        <v>337</v>
      </c>
      <c r="C46" s="19" t="s">
        <v>364</v>
      </c>
      <c r="D46" s="86" t="s">
        <v>587</v>
      </c>
      <c r="E46" s="19" t="s">
        <v>552</v>
      </c>
      <c r="F46" s="56" t="s">
        <v>326</v>
      </c>
      <c r="G46" s="19"/>
      <c r="H46" s="19" t="s">
        <v>588</v>
      </c>
      <c r="I46" s="19" t="s">
        <v>346</v>
      </c>
      <c r="J46" s="70" t="s">
        <v>589</v>
      </c>
      <c r="K46" s="70" t="s">
        <v>281</v>
      </c>
      <c r="L46" s="48" t="s">
        <v>346</v>
      </c>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row>
    <row r="47" spans="1:48" ht="14.4" customHeight="1" x14ac:dyDescent="0.55000000000000004">
      <c r="A47" s="87"/>
      <c r="B47" s="87"/>
      <c r="C47" s="87"/>
      <c r="D47" s="87"/>
      <c r="E47" s="87"/>
      <c r="F47" s="87"/>
      <c r="G47" s="87"/>
      <c r="H47" s="87"/>
      <c r="I47" s="87"/>
      <c r="J47" s="87"/>
      <c r="K47" s="87"/>
      <c r="L47" s="87"/>
      <c r="M47" s="87"/>
      <c r="N47" s="87"/>
      <c r="O47" s="87"/>
      <c r="P47" s="87"/>
      <c r="Q47" s="87"/>
      <c r="R47" s="87"/>
      <c r="S47" s="137" t="s">
        <v>227</v>
      </c>
      <c r="T47" s="137"/>
      <c r="U47" s="137"/>
      <c r="V47" s="137"/>
      <c r="W47" s="137"/>
      <c r="X47" s="137" t="s">
        <v>217</v>
      </c>
      <c r="Y47" s="137"/>
      <c r="Z47" s="137"/>
      <c r="AA47" s="137"/>
      <c r="AB47" s="137"/>
      <c r="AC47" s="137" t="s">
        <v>590</v>
      </c>
      <c r="AD47" s="137"/>
      <c r="AE47" s="137"/>
      <c r="AF47" s="137"/>
      <c r="AG47" s="137"/>
      <c r="AH47" s="137" t="s">
        <v>227</v>
      </c>
      <c r="AI47" s="137"/>
      <c r="AJ47" s="137"/>
      <c r="AK47" s="137"/>
      <c r="AL47" s="137"/>
      <c r="AM47" s="137" t="s">
        <v>217</v>
      </c>
      <c r="AN47" s="137"/>
      <c r="AO47" s="137"/>
      <c r="AP47" s="137"/>
      <c r="AQ47" s="137"/>
      <c r="AR47" s="137" t="s">
        <v>590</v>
      </c>
      <c r="AS47" s="137"/>
      <c r="AT47" s="137"/>
      <c r="AU47" s="137"/>
      <c r="AV47" s="137"/>
    </row>
    <row r="48" spans="1:48" ht="57.6" x14ac:dyDescent="0.55000000000000004">
      <c r="A48" s="51" t="s">
        <v>133</v>
      </c>
      <c r="B48" s="51" t="s">
        <v>134</v>
      </c>
      <c r="C48" s="51" t="s">
        <v>306</v>
      </c>
      <c r="D48" s="50"/>
      <c r="E48" s="51" t="s">
        <v>307</v>
      </c>
      <c r="F48" s="51" t="s">
        <v>136</v>
      </c>
      <c r="G48" s="51" t="s">
        <v>308</v>
      </c>
      <c r="H48" s="51" t="s">
        <v>309</v>
      </c>
      <c r="I48" s="51" t="s">
        <v>310</v>
      </c>
      <c r="J48" s="51" t="s">
        <v>311</v>
      </c>
      <c r="K48" s="51" t="s">
        <v>57</v>
      </c>
      <c r="L48" s="51" t="s">
        <v>312</v>
      </c>
      <c r="M48" s="50" t="s">
        <v>329</v>
      </c>
      <c r="N48" s="51" t="s">
        <v>314</v>
      </c>
      <c r="O48" s="51" t="s">
        <v>315</v>
      </c>
      <c r="P48" s="51" t="s">
        <v>316</v>
      </c>
      <c r="Q48" s="51" t="s">
        <v>317</v>
      </c>
      <c r="R48" s="51" t="s">
        <v>318</v>
      </c>
      <c r="S48" s="51" t="s">
        <v>319</v>
      </c>
      <c r="T48" s="51" t="s">
        <v>320</v>
      </c>
      <c r="U48" s="51" t="s">
        <v>60</v>
      </c>
      <c r="V48" s="51" t="s">
        <v>591</v>
      </c>
      <c r="W48" s="51" t="s">
        <v>314</v>
      </c>
      <c r="X48" s="51" t="s">
        <v>319</v>
      </c>
      <c r="Y48" s="51" t="s">
        <v>320</v>
      </c>
      <c r="Z48" s="51" t="s">
        <v>60</v>
      </c>
      <c r="AA48" s="51" t="s">
        <v>591</v>
      </c>
      <c r="AB48" s="51" t="s">
        <v>314</v>
      </c>
      <c r="AC48" s="51" t="s">
        <v>319</v>
      </c>
      <c r="AD48" s="51" t="s">
        <v>320</v>
      </c>
      <c r="AE48" s="51" t="s">
        <v>60</v>
      </c>
      <c r="AF48" s="51" t="s">
        <v>591</v>
      </c>
      <c r="AG48" s="51" t="s">
        <v>314</v>
      </c>
      <c r="AH48" s="51" t="s">
        <v>319</v>
      </c>
      <c r="AI48" s="51" t="s">
        <v>320</v>
      </c>
      <c r="AJ48" s="51" t="s">
        <v>60</v>
      </c>
      <c r="AK48" s="51" t="s">
        <v>591</v>
      </c>
      <c r="AL48" s="51" t="s">
        <v>314</v>
      </c>
      <c r="AM48" s="51" t="s">
        <v>319</v>
      </c>
      <c r="AN48" s="51" t="s">
        <v>320</v>
      </c>
      <c r="AO48" s="51" t="s">
        <v>60</v>
      </c>
      <c r="AP48" s="51" t="s">
        <v>591</v>
      </c>
      <c r="AQ48" s="51" t="s">
        <v>314</v>
      </c>
      <c r="AR48" s="51" t="s">
        <v>319</v>
      </c>
      <c r="AS48" s="51" t="s">
        <v>320</v>
      </c>
      <c r="AT48" s="51" t="s">
        <v>60</v>
      </c>
      <c r="AU48" s="51" t="s">
        <v>591</v>
      </c>
      <c r="AV48" s="51" t="s">
        <v>314</v>
      </c>
    </row>
    <row r="49" spans="1:48" ht="216" x14ac:dyDescent="0.55000000000000004">
      <c r="A49" s="76" t="s">
        <v>138</v>
      </c>
      <c r="B49" s="19" t="s">
        <v>342</v>
      </c>
      <c r="C49" s="76" t="s">
        <v>592</v>
      </c>
      <c r="D49" s="76" t="s">
        <v>593</v>
      </c>
      <c r="E49" s="76" t="s">
        <v>594</v>
      </c>
      <c r="F49" s="77" t="s">
        <v>326</v>
      </c>
      <c r="G49" s="76"/>
      <c r="H49" s="76" t="s">
        <v>595</v>
      </c>
      <c r="I49" s="76" t="s">
        <v>346</v>
      </c>
      <c r="J49" s="76" t="s">
        <v>596</v>
      </c>
      <c r="K49" s="78" t="s">
        <v>1</v>
      </c>
      <c r="L49" s="48" t="s">
        <v>346</v>
      </c>
      <c r="M49" s="19" t="s">
        <v>329</v>
      </c>
      <c r="N49" s="76" t="s">
        <v>597</v>
      </c>
      <c r="O49" s="76" t="s">
        <v>598</v>
      </c>
      <c r="P49" s="76" t="s">
        <v>346</v>
      </c>
      <c r="Q49" s="79">
        <v>0</v>
      </c>
      <c r="R49" s="79">
        <v>0</v>
      </c>
      <c r="S49" s="79">
        <v>0</v>
      </c>
      <c r="T49" s="79">
        <v>0</v>
      </c>
      <c r="U49" s="79" t="s">
        <v>599</v>
      </c>
      <c r="V49" s="79">
        <v>1</v>
      </c>
      <c r="W49" s="76"/>
      <c r="X49" s="79">
        <v>0</v>
      </c>
      <c r="Y49" s="79">
        <v>0</v>
      </c>
      <c r="Z49" s="79">
        <v>0</v>
      </c>
      <c r="AA49" s="79">
        <v>0</v>
      </c>
      <c r="AB49" s="76"/>
      <c r="AC49" s="79">
        <v>1</v>
      </c>
      <c r="AD49" s="79" t="s">
        <v>468</v>
      </c>
      <c r="AE49" s="79">
        <v>3</v>
      </c>
      <c r="AF49" s="79">
        <v>3</v>
      </c>
      <c r="AG49" s="76"/>
      <c r="AH49" s="79">
        <v>0</v>
      </c>
      <c r="AI49" s="79">
        <v>0</v>
      </c>
      <c r="AJ49" s="79">
        <v>1</v>
      </c>
      <c r="AK49" s="79">
        <v>0</v>
      </c>
      <c r="AL49" s="76"/>
      <c r="AM49" s="79">
        <v>0</v>
      </c>
      <c r="AN49" s="79">
        <v>0</v>
      </c>
      <c r="AO49" s="79">
        <v>1</v>
      </c>
      <c r="AP49" s="79">
        <v>0</v>
      </c>
      <c r="AQ49" s="76"/>
      <c r="AR49" s="79">
        <v>1</v>
      </c>
      <c r="AS49" s="79">
        <v>1</v>
      </c>
      <c r="AT49" s="79">
        <v>3</v>
      </c>
      <c r="AU49" s="79">
        <v>3</v>
      </c>
      <c r="AV49" s="76"/>
    </row>
    <row r="50" spans="1:48" ht="115.2" x14ac:dyDescent="0.55000000000000004">
      <c r="A50" s="48" t="s">
        <v>600</v>
      </c>
      <c r="B50" s="64" t="s">
        <v>337</v>
      </c>
      <c r="C50" s="47" t="s">
        <v>413</v>
      </c>
      <c r="D50" s="47" t="s">
        <v>601</v>
      </c>
      <c r="E50" s="47" t="s">
        <v>330</v>
      </c>
      <c r="F50" s="65" t="s">
        <v>326</v>
      </c>
      <c r="G50" s="47"/>
      <c r="H50" s="47" t="s">
        <v>330</v>
      </c>
      <c r="I50" s="47" t="s">
        <v>329</v>
      </c>
      <c r="J50" s="47" t="s">
        <v>330</v>
      </c>
      <c r="K50" s="47" t="s">
        <v>602</v>
      </c>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row>
    <row r="51" spans="1:48" ht="201.6" x14ac:dyDescent="0.55000000000000004">
      <c r="A51" s="48" t="s">
        <v>603</v>
      </c>
      <c r="B51" s="19" t="s">
        <v>342</v>
      </c>
      <c r="C51" s="63" t="s">
        <v>419</v>
      </c>
      <c r="D51" s="19"/>
      <c r="E51" s="19" t="s">
        <v>604</v>
      </c>
      <c r="F51" s="56" t="s">
        <v>326</v>
      </c>
      <c r="G51" s="19"/>
      <c r="H51" s="19" t="s">
        <v>330</v>
      </c>
      <c r="I51" s="19" t="s">
        <v>329</v>
      </c>
      <c r="J51" s="19" t="s">
        <v>330</v>
      </c>
      <c r="K51" s="19" t="s">
        <v>605</v>
      </c>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row>
    <row r="52" spans="1:48" ht="129.6" x14ac:dyDescent="0.55000000000000004">
      <c r="A52" s="48" t="s">
        <v>606</v>
      </c>
      <c r="B52" s="47" t="s">
        <v>377</v>
      </c>
      <c r="C52" s="47" t="s">
        <v>378</v>
      </c>
      <c r="D52" s="47" t="s">
        <v>607</v>
      </c>
      <c r="E52" s="47" t="s">
        <v>608</v>
      </c>
      <c r="F52" s="65" t="s">
        <v>326</v>
      </c>
      <c r="G52" s="47"/>
      <c r="H52" s="47" t="s">
        <v>609</v>
      </c>
      <c r="I52" s="47" t="s">
        <v>346</v>
      </c>
      <c r="J52" s="47" t="s">
        <v>610</v>
      </c>
      <c r="K52" s="67" t="s">
        <v>611</v>
      </c>
      <c r="L52" s="47" t="s">
        <v>329</v>
      </c>
      <c r="M52" s="47"/>
      <c r="N52" s="47" t="s">
        <v>612</v>
      </c>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row>
    <row r="53" spans="1:48" ht="180" x14ac:dyDescent="0.55000000000000004">
      <c r="A53" s="48" t="s">
        <v>613</v>
      </c>
      <c r="B53" s="19" t="s">
        <v>396</v>
      </c>
      <c r="C53" s="19" t="s">
        <v>408</v>
      </c>
      <c r="D53" s="81" t="s">
        <v>614</v>
      </c>
      <c r="E53" s="19" t="s">
        <v>615</v>
      </c>
      <c r="F53" s="56" t="s">
        <v>326</v>
      </c>
      <c r="G53" s="19"/>
      <c r="H53" s="19" t="s">
        <v>330</v>
      </c>
      <c r="I53" s="19" t="s">
        <v>329</v>
      </c>
      <c r="J53" s="19" t="s">
        <v>330</v>
      </c>
      <c r="K53" s="19" t="s">
        <v>616</v>
      </c>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row>
    <row r="54" spans="1:48" ht="158.4" x14ac:dyDescent="0.55000000000000004">
      <c r="A54" s="48" t="s">
        <v>141</v>
      </c>
      <c r="B54" s="47" t="s">
        <v>354</v>
      </c>
      <c r="C54" s="47" t="s">
        <v>372</v>
      </c>
      <c r="D54" s="86" t="s">
        <v>617</v>
      </c>
      <c r="E54" s="47" t="s">
        <v>618</v>
      </c>
      <c r="F54" s="65" t="s">
        <v>326</v>
      </c>
      <c r="G54" s="47"/>
      <c r="H54" s="47" t="s">
        <v>619</v>
      </c>
      <c r="I54" s="47" t="s">
        <v>346</v>
      </c>
      <c r="J54" s="47" t="s">
        <v>620</v>
      </c>
      <c r="K54" s="67" t="s">
        <v>2</v>
      </c>
      <c r="L54" s="48" t="s">
        <v>346</v>
      </c>
      <c r="M54" s="47" t="s">
        <v>329</v>
      </c>
      <c r="N54" s="47" t="s">
        <v>333</v>
      </c>
      <c r="O54" s="47"/>
      <c r="P54" s="47" t="s">
        <v>346</v>
      </c>
      <c r="Q54" s="68">
        <v>0</v>
      </c>
      <c r="R54" s="68">
        <v>0</v>
      </c>
      <c r="S54" s="68">
        <v>0</v>
      </c>
      <c r="T54" s="68">
        <v>0</v>
      </c>
      <c r="U54" s="68">
        <v>1</v>
      </c>
      <c r="V54" s="68">
        <v>1</v>
      </c>
      <c r="W54" s="47"/>
      <c r="X54" s="68">
        <v>0</v>
      </c>
      <c r="Y54" s="68">
        <v>0</v>
      </c>
      <c r="Z54" s="68">
        <v>0</v>
      </c>
      <c r="AA54" s="68">
        <v>0</v>
      </c>
      <c r="AB54" s="47"/>
      <c r="AC54" s="68">
        <v>0</v>
      </c>
      <c r="AD54" s="68">
        <v>0</v>
      </c>
      <c r="AE54" s="68">
        <v>1</v>
      </c>
      <c r="AF54" s="68">
        <v>1</v>
      </c>
      <c r="AG54" s="47"/>
      <c r="AH54" s="68">
        <v>0</v>
      </c>
      <c r="AI54" s="68">
        <v>0</v>
      </c>
      <c r="AJ54" s="68" t="s">
        <v>621</v>
      </c>
      <c r="AK54" s="68">
        <v>1</v>
      </c>
      <c r="AL54" s="47"/>
      <c r="AM54" s="68">
        <v>0</v>
      </c>
      <c r="AN54" s="68">
        <v>0</v>
      </c>
      <c r="AO54" s="68">
        <v>0</v>
      </c>
      <c r="AP54" s="68">
        <v>0</v>
      </c>
      <c r="AQ54" s="47"/>
      <c r="AR54" s="68">
        <v>0</v>
      </c>
      <c r="AS54" s="68">
        <v>0</v>
      </c>
      <c r="AT54" s="68">
        <v>1</v>
      </c>
      <c r="AU54" s="68">
        <v>1</v>
      </c>
      <c r="AV54" s="47"/>
    </row>
    <row r="55" spans="1:48" ht="230.4" x14ac:dyDescent="0.55000000000000004">
      <c r="A55" s="48" t="s">
        <v>622</v>
      </c>
      <c r="B55" s="19" t="s">
        <v>342</v>
      </c>
      <c r="C55" s="19" t="s">
        <v>343</v>
      </c>
      <c r="D55" s="19" t="s">
        <v>489</v>
      </c>
      <c r="E55" s="19" t="s">
        <v>623</v>
      </c>
      <c r="F55" s="56" t="s">
        <v>326</v>
      </c>
      <c r="G55" s="19"/>
      <c r="H55" s="19" t="s">
        <v>624</v>
      </c>
      <c r="I55" s="19" t="s">
        <v>346</v>
      </c>
      <c r="J55" s="19" t="s">
        <v>625</v>
      </c>
      <c r="K55" s="70" t="s">
        <v>626</v>
      </c>
      <c r="L55" s="19" t="s">
        <v>329</v>
      </c>
      <c r="M55" s="19"/>
      <c r="N55" s="19" t="s">
        <v>627</v>
      </c>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row>
    <row r="56" spans="1:48" ht="172.8" x14ac:dyDescent="0.55000000000000004">
      <c r="A56" s="48" t="s">
        <v>144</v>
      </c>
      <c r="B56" s="47" t="s">
        <v>342</v>
      </c>
      <c r="C56" s="47" t="s">
        <v>343</v>
      </c>
      <c r="D56" s="47" t="s">
        <v>628</v>
      </c>
      <c r="E56" s="47" t="s">
        <v>629</v>
      </c>
      <c r="F56" s="65" t="s">
        <v>326</v>
      </c>
      <c r="G56" s="47"/>
      <c r="H56" s="85" t="s">
        <v>630</v>
      </c>
      <c r="I56" s="47" t="s">
        <v>346</v>
      </c>
      <c r="J56" s="47" t="s">
        <v>631</v>
      </c>
      <c r="K56" s="67" t="s">
        <v>3</v>
      </c>
      <c r="L56" s="48" t="s">
        <v>346</v>
      </c>
      <c r="M56" s="47" t="s">
        <v>329</v>
      </c>
      <c r="N56" s="47" t="s">
        <v>597</v>
      </c>
      <c r="O56" s="47" t="s">
        <v>598</v>
      </c>
      <c r="P56" s="47" t="s">
        <v>346</v>
      </c>
      <c r="Q56" s="68">
        <v>0</v>
      </c>
      <c r="R56" s="68">
        <v>0</v>
      </c>
      <c r="S56" s="68">
        <v>1</v>
      </c>
      <c r="T56" s="68" t="s">
        <v>468</v>
      </c>
      <c r="U56" s="68">
        <v>3</v>
      </c>
      <c r="V56" s="68">
        <v>3</v>
      </c>
      <c r="W56" s="47"/>
      <c r="X56" s="68">
        <v>0</v>
      </c>
      <c r="Y56" s="68">
        <v>0</v>
      </c>
      <c r="Z56" s="68">
        <v>0</v>
      </c>
      <c r="AA56" s="68">
        <v>0</v>
      </c>
      <c r="AB56" s="47" t="s">
        <v>632</v>
      </c>
      <c r="AC56" s="68">
        <v>1</v>
      </c>
      <c r="AD56" s="68" t="s">
        <v>468</v>
      </c>
      <c r="AE56" s="68">
        <v>3</v>
      </c>
      <c r="AF56" s="68">
        <v>3</v>
      </c>
      <c r="AG56" s="47"/>
      <c r="AH56" s="68">
        <v>1</v>
      </c>
      <c r="AI56" s="68">
        <v>1</v>
      </c>
      <c r="AJ56" s="68">
        <v>3</v>
      </c>
      <c r="AK56" s="68">
        <v>3</v>
      </c>
      <c r="AL56" s="47"/>
      <c r="AM56" s="68">
        <v>0</v>
      </c>
      <c r="AN56" s="68">
        <v>0</v>
      </c>
      <c r="AO56" s="68" t="s">
        <v>599</v>
      </c>
      <c r="AP56" s="68">
        <v>2</v>
      </c>
      <c r="AQ56" s="47"/>
      <c r="AR56" s="68" t="s">
        <v>468</v>
      </c>
      <c r="AS56" s="68" t="s">
        <v>468</v>
      </c>
      <c r="AT56" s="68">
        <v>3</v>
      </c>
      <c r="AU56" s="68">
        <v>3</v>
      </c>
      <c r="AV56" s="47"/>
    </row>
    <row r="57" spans="1:48" ht="201.6" x14ac:dyDescent="0.55000000000000004">
      <c r="A57" s="48" t="s">
        <v>633</v>
      </c>
      <c r="B57" s="54" t="s">
        <v>337</v>
      </c>
      <c r="C57" s="63" t="s">
        <v>634</v>
      </c>
      <c r="D57" s="19" t="s">
        <v>635</v>
      </c>
      <c r="E57" s="19" t="s">
        <v>636</v>
      </c>
      <c r="F57" s="56" t="s">
        <v>326</v>
      </c>
      <c r="G57" s="19"/>
      <c r="H57" s="19" t="s">
        <v>637</v>
      </c>
      <c r="I57" s="19" t="s">
        <v>346</v>
      </c>
      <c r="J57" s="19" t="s">
        <v>638</v>
      </c>
      <c r="K57" s="70" t="s">
        <v>639</v>
      </c>
      <c r="L57" s="19" t="s">
        <v>329</v>
      </c>
      <c r="M57" s="19"/>
      <c r="N57" s="19" t="s">
        <v>640</v>
      </c>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row>
    <row r="58" spans="1:48" ht="230.4" x14ac:dyDescent="0.55000000000000004">
      <c r="A58" s="48" t="s">
        <v>641</v>
      </c>
      <c r="B58" s="47" t="s">
        <v>396</v>
      </c>
      <c r="C58" s="47" t="s">
        <v>408</v>
      </c>
      <c r="D58" s="86" t="s">
        <v>642</v>
      </c>
      <c r="E58" s="47" t="s">
        <v>643</v>
      </c>
      <c r="F58" s="65" t="s">
        <v>326</v>
      </c>
      <c r="G58" s="47"/>
      <c r="H58" s="47" t="s">
        <v>644</v>
      </c>
      <c r="I58" s="47" t="s">
        <v>346</v>
      </c>
      <c r="J58" s="47" t="s">
        <v>645</v>
      </c>
      <c r="K58" s="67" t="s">
        <v>646</v>
      </c>
      <c r="L58" s="47" t="s">
        <v>329</v>
      </c>
      <c r="M58" s="47"/>
      <c r="N58" s="47" t="s">
        <v>640</v>
      </c>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row>
    <row r="59" spans="1:48" ht="302.39999999999998" x14ac:dyDescent="0.55000000000000004">
      <c r="A59" s="48" t="s">
        <v>647</v>
      </c>
      <c r="B59" s="19" t="s">
        <v>453</v>
      </c>
      <c r="C59" s="63" t="s">
        <v>648</v>
      </c>
      <c r="D59" s="19" t="s">
        <v>649</v>
      </c>
      <c r="E59" s="63" t="s">
        <v>650</v>
      </c>
      <c r="F59" s="56" t="s">
        <v>326</v>
      </c>
      <c r="G59" s="19"/>
      <c r="H59" s="19" t="s">
        <v>651</v>
      </c>
      <c r="I59" s="19" t="s">
        <v>329</v>
      </c>
      <c r="J59" s="19" t="s">
        <v>330</v>
      </c>
      <c r="K59" s="19" t="s">
        <v>652</v>
      </c>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row>
    <row r="60" spans="1:48" ht="259.2" x14ac:dyDescent="0.55000000000000004">
      <c r="A60" s="71" t="s">
        <v>653</v>
      </c>
      <c r="B60" s="71" t="s">
        <v>333</v>
      </c>
      <c r="C60" s="71" t="s">
        <v>333</v>
      </c>
      <c r="D60" s="88" t="s">
        <v>654</v>
      </c>
      <c r="E60" s="71" t="s">
        <v>655</v>
      </c>
      <c r="F60" s="72" t="s">
        <v>326</v>
      </c>
      <c r="G60" s="71"/>
      <c r="H60" s="71" t="s">
        <v>656</v>
      </c>
      <c r="I60" s="71" t="s">
        <v>346</v>
      </c>
      <c r="J60" s="71" t="s">
        <v>657</v>
      </c>
      <c r="K60" s="74" t="s">
        <v>658</v>
      </c>
      <c r="L60" s="71" t="s">
        <v>329</v>
      </c>
      <c r="M60" s="71"/>
      <c r="N60" s="71" t="s">
        <v>640</v>
      </c>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row>
    <row r="61" spans="1:48" ht="172.8" x14ac:dyDescent="0.55000000000000004">
      <c r="A61" s="48" t="s">
        <v>659</v>
      </c>
      <c r="B61" s="19" t="s">
        <v>354</v>
      </c>
      <c r="C61" s="19" t="s">
        <v>372</v>
      </c>
      <c r="D61" s="81" t="s">
        <v>660</v>
      </c>
      <c r="E61" s="19" t="s">
        <v>661</v>
      </c>
      <c r="F61" s="56" t="s">
        <v>326</v>
      </c>
      <c r="G61" s="19"/>
      <c r="H61" s="19" t="s">
        <v>662</v>
      </c>
      <c r="I61" s="19" t="s">
        <v>346</v>
      </c>
      <c r="J61" s="19" t="s">
        <v>663</v>
      </c>
      <c r="K61" s="19" t="s">
        <v>664</v>
      </c>
      <c r="L61" s="19" t="s">
        <v>329</v>
      </c>
      <c r="M61" s="19"/>
      <c r="N61" s="19" t="s">
        <v>640</v>
      </c>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row>
    <row r="62" spans="1:48" ht="244.8" x14ac:dyDescent="0.55000000000000004">
      <c r="A62" s="48" t="s">
        <v>665</v>
      </c>
      <c r="B62" s="47" t="s">
        <v>568</v>
      </c>
      <c r="C62" s="85" t="s">
        <v>569</v>
      </c>
      <c r="D62" s="47" t="s">
        <v>666</v>
      </c>
      <c r="E62" s="47" t="s">
        <v>667</v>
      </c>
      <c r="F62" s="65" t="s">
        <v>326</v>
      </c>
      <c r="G62" s="47"/>
      <c r="H62" s="47" t="s">
        <v>668</v>
      </c>
      <c r="I62" s="47" t="s">
        <v>346</v>
      </c>
      <c r="J62" s="47" t="s">
        <v>669</v>
      </c>
      <c r="K62" s="47" t="s">
        <v>670</v>
      </c>
      <c r="L62" s="47" t="s">
        <v>329</v>
      </c>
      <c r="M62" s="47"/>
      <c r="N62" s="47" t="s">
        <v>640</v>
      </c>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row>
    <row r="63" spans="1:48" ht="230.4" x14ac:dyDescent="0.55000000000000004">
      <c r="A63" s="48" t="s">
        <v>671</v>
      </c>
      <c r="B63" s="19" t="s">
        <v>377</v>
      </c>
      <c r="C63" s="19" t="s">
        <v>378</v>
      </c>
      <c r="D63" s="19" t="s">
        <v>672</v>
      </c>
      <c r="E63" s="19" t="s">
        <v>673</v>
      </c>
      <c r="F63" s="56" t="s">
        <v>326</v>
      </c>
      <c r="G63" s="19"/>
      <c r="H63" s="19" t="s">
        <v>674</v>
      </c>
      <c r="I63" s="19" t="s">
        <v>329</v>
      </c>
      <c r="J63" s="19" t="s">
        <v>330</v>
      </c>
      <c r="K63" s="19" t="s">
        <v>675</v>
      </c>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row>
    <row r="64" spans="1:48" ht="259.2" x14ac:dyDescent="0.55000000000000004">
      <c r="A64" s="48" t="s">
        <v>676</v>
      </c>
      <c r="B64" s="47" t="s">
        <v>342</v>
      </c>
      <c r="C64" s="47" t="s">
        <v>419</v>
      </c>
      <c r="D64" s="47"/>
      <c r="E64" s="85" t="s">
        <v>677</v>
      </c>
      <c r="F64" s="65" t="s">
        <v>326</v>
      </c>
      <c r="G64" s="47"/>
      <c r="H64" s="85" t="s">
        <v>678</v>
      </c>
      <c r="I64" s="47" t="s">
        <v>346</v>
      </c>
      <c r="J64" s="47" t="s">
        <v>679</v>
      </c>
      <c r="K64" s="47" t="s">
        <v>680</v>
      </c>
      <c r="L64" s="47" t="s">
        <v>329</v>
      </c>
      <c r="M64" s="47"/>
      <c r="N64" s="47" t="s">
        <v>640</v>
      </c>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row>
    <row r="65" spans="1:48" ht="201.6" x14ac:dyDescent="0.55000000000000004">
      <c r="A65" s="48" t="s">
        <v>681</v>
      </c>
      <c r="B65" s="19" t="s">
        <v>342</v>
      </c>
      <c r="C65" s="63" t="s">
        <v>419</v>
      </c>
      <c r="D65" s="19"/>
      <c r="E65" s="19" t="s">
        <v>682</v>
      </c>
      <c r="F65" s="56" t="s">
        <v>326</v>
      </c>
      <c r="G65" s="19"/>
      <c r="H65" s="19" t="s">
        <v>683</v>
      </c>
      <c r="I65" s="19" t="s">
        <v>346</v>
      </c>
      <c r="J65" s="19" t="s">
        <v>684</v>
      </c>
      <c r="K65" s="19" t="s">
        <v>684</v>
      </c>
      <c r="L65" s="19" t="s">
        <v>329</v>
      </c>
      <c r="M65" s="19"/>
      <c r="N65" s="19" t="s">
        <v>640</v>
      </c>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row>
    <row r="66" spans="1:48" ht="288" x14ac:dyDescent="0.55000000000000004">
      <c r="A66" s="48" t="s">
        <v>685</v>
      </c>
      <c r="B66" s="47" t="s">
        <v>396</v>
      </c>
      <c r="C66" s="47" t="s">
        <v>408</v>
      </c>
      <c r="D66" s="86" t="s">
        <v>686</v>
      </c>
      <c r="E66" s="67" t="s">
        <v>687</v>
      </c>
      <c r="F66" s="65" t="s">
        <v>326</v>
      </c>
      <c r="G66" s="47"/>
      <c r="H66" s="47" t="s">
        <v>688</v>
      </c>
      <c r="I66" s="47" t="s">
        <v>346</v>
      </c>
      <c r="J66" s="67" t="s">
        <v>689</v>
      </c>
      <c r="K66" s="67" t="s">
        <v>690</v>
      </c>
      <c r="L66" s="47" t="s">
        <v>329</v>
      </c>
      <c r="M66" s="47"/>
      <c r="N66" s="47" t="s">
        <v>691</v>
      </c>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row>
    <row r="67" spans="1:48" ht="273.60000000000002" x14ac:dyDescent="0.55000000000000004">
      <c r="A67" s="48" t="s">
        <v>146</v>
      </c>
      <c r="B67" s="19" t="s">
        <v>342</v>
      </c>
      <c r="C67" s="19" t="s">
        <v>343</v>
      </c>
      <c r="D67" s="19" t="s">
        <v>692</v>
      </c>
      <c r="E67" s="19" t="s">
        <v>693</v>
      </c>
      <c r="F67" s="56" t="s">
        <v>326</v>
      </c>
      <c r="G67" s="19"/>
      <c r="H67" s="19" t="s">
        <v>694</v>
      </c>
      <c r="I67" s="19" t="s">
        <v>346</v>
      </c>
      <c r="J67" s="70" t="s">
        <v>695</v>
      </c>
      <c r="K67" s="70" t="s">
        <v>4</v>
      </c>
      <c r="L67" s="48" t="s">
        <v>346</v>
      </c>
      <c r="M67" s="19" t="s">
        <v>329</v>
      </c>
      <c r="N67" s="19" t="s">
        <v>597</v>
      </c>
      <c r="O67" s="19" t="s">
        <v>598</v>
      </c>
      <c r="P67" s="19" t="s">
        <v>346</v>
      </c>
      <c r="Q67" s="75">
        <v>0</v>
      </c>
      <c r="R67" s="75">
        <v>0</v>
      </c>
      <c r="S67" s="75">
        <v>3</v>
      </c>
      <c r="T67" s="75">
        <v>0</v>
      </c>
      <c r="U67" s="75" t="s">
        <v>621</v>
      </c>
      <c r="V67" s="75" t="s">
        <v>621</v>
      </c>
      <c r="W67" s="19" t="s">
        <v>696</v>
      </c>
      <c r="X67" s="75" t="s">
        <v>510</v>
      </c>
      <c r="Y67" s="75">
        <v>0</v>
      </c>
      <c r="Z67" s="75">
        <v>0</v>
      </c>
      <c r="AA67" s="75">
        <v>0</v>
      </c>
      <c r="AB67" s="19"/>
      <c r="AC67" s="75">
        <v>0</v>
      </c>
      <c r="AD67" s="75">
        <v>0</v>
      </c>
      <c r="AE67" s="75">
        <v>0</v>
      </c>
      <c r="AF67" s="75">
        <v>0</v>
      </c>
      <c r="AG67" s="19" t="s">
        <v>352</v>
      </c>
      <c r="AH67" s="75">
        <v>1</v>
      </c>
      <c r="AI67" s="75">
        <v>0</v>
      </c>
      <c r="AJ67" s="75" t="s">
        <v>621</v>
      </c>
      <c r="AK67" s="75" t="s">
        <v>621</v>
      </c>
      <c r="AL67" s="19"/>
      <c r="AM67" s="75">
        <v>0</v>
      </c>
      <c r="AN67" s="75">
        <v>0</v>
      </c>
      <c r="AO67" s="75">
        <v>0</v>
      </c>
      <c r="AP67" s="75">
        <v>0</v>
      </c>
      <c r="AQ67" s="19"/>
      <c r="AR67" s="75">
        <v>0</v>
      </c>
      <c r="AS67" s="75">
        <v>0</v>
      </c>
      <c r="AT67" s="75">
        <v>0</v>
      </c>
      <c r="AU67" s="75">
        <v>0</v>
      </c>
      <c r="AV67" s="19"/>
    </row>
    <row r="68" spans="1:48" ht="115.2" x14ac:dyDescent="0.55000000000000004">
      <c r="A68" s="48" t="s">
        <v>147</v>
      </c>
      <c r="B68" s="47" t="s">
        <v>342</v>
      </c>
      <c r="C68" s="47" t="s">
        <v>343</v>
      </c>
      <c r="D68" s="47" t="s">
        <v>697</v>
      </c>
      <c r="E68" s="47" t="s">
        <v>698</v>
      </c>
      <c r="F68" s="65" t="s">
        <v>326</v>
      </c>
      <c r="G68" s="47"/>
      <c r="H68" s="47" t="s">
        <v>699</v>
      </c>
      <c r="I68" s="47" t="s">
        <v>346</v>
      </c>
      <c r="J68" s="67" t="s">
        <v>700</v>
      </c>
      <c r="K68" s="67" t="s">
        <v>5</v>
      </c>
      <c r="L68" s="48" t="s">
        <v>346</v>
      </c>
      <c r="M68" s="47" t="s">
        <v>329</v>
      </c>
      <c r="N68" s="47" t="s">
        <v>701</v>
      </c>
      <c r="O68" s="47" t="s">
        <v>598</v>
      </c>
      <c r="P68" s="47" t="s">
        <v>346</v>
      </c>
      <c r="Q68" s="68">
        <v>0</v>
      </c>
      <c r="R68" s="68">
        <v>0</v>
      </c>
      <c r="S68" s="68">
        <v>2</v>
      </c>
      <c r="T68" s="68">
        <v>0</v>
      </c>
      <c r="U68" s="68">
        <v>3</v>
      </c>
      <c r="V68" s="68">
        <v>3</v>
      </c>
      <c r="W68" s="47" t="s">
        <v>702</v>
      </c>
      <c r="X68" s="68">
        <v>0</v>
      </c>
      <c r="Y68" s="68">
        <v>0</v>
      </c>
      <c r="Z68" s="68">
        <v>0</v>
      </c>
      <c r="AA68" s="68">
        <v>0</v>
      </c>
      <c r="AB68" s="47"/>
      <c r="AC68" s="68" t="s">
        <v>468</v>
      </c>
      <c r="AD68" s="68" t="s">
        <v>703</v>
      </c>
      <c r="AE68" s="68" t="s">
        <v>599</v>
      </c>
      <c r="AF68" s="68" t="s">
        <v>599</v>
      </c>
      <c r="AG68" s="47"/>
      <c r="AH68" s="68">
        <v>0</v>
      </c>
      <c r="AI68" s="68">
        <v>0</v>
      </c>
      <c r="AJ68" s="68">
        <v>3</v>
      </c>
      <c r="AK68" s="68" t="s">
        <v>704</v>
      </c>
      <c r="AL68" s="47"/>
      <c r="AM68" s="68">
        <v>0</v>
      </c>
      <c r="AN68" s="68">
        <v>0</v>
      </c>
      <c r="AO68" s="68">
        <v>0</v>
      </c>
      <c r="AP68" s="68">
        <v>0</v>
      </c>
      <c r="AQ68" s="47"/>
      <c r="AR68" s="68">
        <v>1</v>
      </c>
      <c r="AS68" s="68">
        <v>0</v>
      </c>
      <c r="AT68" s="68">
        <v>3</v>
      </c>
      <c r="AU68" s="68">
        <v>3</v>
      </c>
      <c r="AV68" s="47"/>
    </row>
    <row r="69" spans="1:48" ht="86.4" x14ac:dyDescent="0.55000000000000004">
      <c r="A69" s="48" t="s">
        <v>148</v>
      </c>
      <c r="B69" s="19" t="s">
        <v>342</v>
      </c>
      <c r="C69" s="63" t="s">
        <v>419</v>
      </c>
      <c r="D69" s="81" t="s">
        <v>705</v>
      </c>
      <c r="E69" s="19" t="s">
        <v>706</v>
      </c>
      <c r="F69" s="56" t="s">
        <v>326</v>
      </c>
      <c r="G69" s="19"/>
      <c r="H69" s="19" t="s">
        <v>707</v>
      </c>
      <c r="I69" s="19" t="s">
        <v>346</v>
      </c>
      <c r="J69" s="70" t="s">
        <v>708</v>
      </c>
      <c r="K69" s="70" t="s">
        <v>6</v>
      </c>
      <c r="L69" s="48" t="s">
        <v>346</v>
      </c>
      <c r="M69" s="19" t="s">
        <v>329</v>
      </c>
      <c r="N69" s="19" t="s">
        <v>709</v>
      </c>
      <c r="O69" s="19" t="s">
        <v>598</v>
      </c>
      <c r="P69" s="19" t="s">
        <v>346</v>
      </c>
      <c r="Q69" s="75">
        <v>0</v>
      </c>
      <c r="R69" s="75">
        <v>0</v>
      </c>
      <c r="S69" s="75">
        <v>0</v>
      </c>
      <c r="T69" s="75">
        <v>0</v>
      </c>
      <c r="U69" s="75">
        <v>0</v>
      </c>
      <c r="V69" s="75">
        <v>0</v>
      </c>
      <c r="W69" s="19" t="s">
        <v>702</v>
      </c>
      <c r="X69" s="75">
        <v>0</v>
      </c>
      <c r="Y69" s="75">
        <v>0</v>
      </c>
      <c r="Z69" s="75">
        <v>0</v>
      </c>
      <c r="AA69" s="75">
        <v>0</v>
      </c>
      <c r="AB69" s="19" t="s">
        <v>406</v>
      </c>
      <c r="AC69" s="75">
        <v>0</v>
      </c>
      <c r="AD69" s="75">
        <v>0</v>
      </c>
      <c r="AE69" s="75">
        <v>1</v>
      </c>
      <c r="AF69" s="75">
        <v>1</v>
      </c>
      <c r="AG69" s="19"/>
      <c r="AH69" s="75">
        <v>0</v>
      </c>
      <c r="AI69" s="75">
        <v>0</v>
      </c>
      <c r="AJ69" s="75">
        <v>0</v>
      </c>
      <c r="AK69" s="75">
        <v>0</v>
      </c>
      <c r="AL69" s="19"/>
      <c r="AM69" s="75">
        <v>0</v>
      </c>
      <c r="AN69" s="75">
        <v>0</v>
      </c>
      <c r="AO69" s="75">
        <v>0</v>
      </c>
      <c r="AP69" s="75">
        <v>0</v>
      </c>
      <c r="AQ69" s="19"/>
      <c r="AR69" s="75" t="s">
        <v>703</v>
      </c>
      <c r="AS69" s="75">
        <v>0</v>
      </c>
      <c r="AT69" s="75">
        <v>1</v>
      </c>
      <c r="AU69" s="75">
        <v>1</v>
      </c>
      <c r="AV69" s="19"/>
    </row>
    <row r="70" spans="1:48" ht="86.4" x14ac:dyDescent="0.55000000000000004">
      <c r="A70" s="48" t="s">
        <v>710</v>
      </c>
      <c r="B70" s="47" t="s">
        <v>342</v>
      </c>
      <c r="C70" s="47" t="s">
        <v>343</v>
      </c>
      <c r="D70" s="47" t="s">
        <v>711</v>
      </c>
      <c r="E70" s="47" t="s">
        <v>712</v>
      </c>
      <c r="F70" s="65" t="s">
        <v>326</v>
      </c>
      <c r="G70" s="47"/>
      <c r="H70" s="47" t="s">
        <v>713</v>
      </c>
      <c r="I70" s="47" t="s">
        <v>346</v>
      </c>
      <c r="J70" s="67" t="s">
        <v>714</v>
      </c>
      <c r="K70" s="67" t="s">
        <v>715</v>
      </c>
      <c r="L70" s="47" t="s">
        <v>329</v>
      </c>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row>
    <row r="71" spans="1:48" x14ac:dyDescent="0.55000000000000004">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row>
    <row r="72" spans="1:48" ht="57.6" x14ac:dyDescent="0.55000000000000004">
      <c r="A72" s="51" t="s">
        <v>133</v>
      </c>
      <c r="B72" s="51" t="s">
        <v>134</v>
      </c>
      <c r="C72" s="51" t="s">
        <v>306</v>
      </c>
      <c r="D72" s="50"/>
      <c r="E72" s="51" t="s">
        <v>307</v>
      </c>
      <c r="F72" s="51" t="s">
        <v>136</v>
      </c>
      <c r="G72" s="51" t="s">
        <v>308</v>
      </c>
      <c r="H72" s="51" t="s">
        <v>309</v>
      </c>
      <c r="I72" s="51" t="s">
        <v>310</v>
      </c>
      <c r="J72" s="51" t="s">
        <v>311</v>
      </c>
      <c r="K72" s="51" t="s">
        <v>57</v>
      </c>
      <c r="L72" s="51" t="s">
        <v>312</v>
      </c>
      <c r="M72" s="50" t="s">
        <v>329</v>
      </c>
      <c r="N72" s="51" t="s">
        <v>314</v>
      </c>
      <c r="O72" s="51" t="s">
        <v>315</v>
      </c>
      <c r="P72" s="51" t="s">
        <v>316</v>
      </c>
      <c r="Q72" s="51" t="s">
        <v>317</v>
      </c>
      <c r="R72" s="51" t="s">
        <v>318</v>
      </c>
      <c r="S72" s="51" t="s">
        <v>319</v>
      </c>
      <c r="T72" s="51" t="s">
        <v>320</v>
      </c>
      <c r="U72" s="51" t="s">
        <v>60</v>
      </c>
      <c r="V72" s="51" t="s">
        <v>61</v>
      </c>
      <c r="W72" s="51" t="s">
        <v>314</v>
      </c>
      <c r="X72" s="51" t="s">
        <v>319</v>
      </c>
      <c r="Y72" s="51" t="s">
        <v>320</v>
      </c>
      <c r="Z72" s="51" t="s">
        <v>60</v>
      </c>
      <c r="AA72" s="51" t="s">
        <v>61</v>
      </c>
      <c r="AB72" s="51" t="s">
        <v>314</v>
      </c>
      <c r="AC72" s="51" t="s">
        <v>319</v>
      </c>
      <c r="AD72" s="51" t="s">
        <v>320</v>
      </c>
      <c r="AE72" s="51" t="s">
        <v>60</v>
      </c>
      <c r="AF72" s="51" t="s">
        <v>61</v>
      </c>
      <c r="AG72" s="51" t="s">
        <v>314</v>
      </c>
      <c r="AH72" s="51" t="s">
        <v>319</v>
      </c>
      <c r="AI72" s="51" t="s">
        <v>320</v>
      </c>
      <c r="AJ72" s="51" t="s">
        <v>60</v>
      </c>
      <c r="AK72" s="51" t="s">
        <v>61</v>
      </c>
      <c r="AL72" s="51" t="s">
        <v>314</v>
      </c>
      <c r="AM72" s="51" t="s">
        <v>319</v>
      </c>
      <c r="AN72" s="51" t="s">
        <v>320</v>
      </c>
      <c r="AO72" s="51" t="s">
        <v>60</v>
      </c>
      <c r="AP72" s="51" t="s">
        <v>61</v>
      </c>
      <c r="AQ72" s="51" t="s">
        <v>314</v>
      </c>
      <c r="AR72" s="51" t="s">
        <v>319</v>
      </c>
      <c r="AS72" s="51" t="s">
        <v>320</v>
      </c>
      <c r="AT72" s="51" t="s">
        <v>60</v>
      </c>
      <c r="AU72" s="51" t="s">
        <v>61</v>
      </c>
      <c r="AV72" s="51" t="s">
        <v>314</v>
      </c>
    </row>
    <row r="73" spans="1:48" ht="100.8" x14ac:dyDescent="0.55000000000000004">
      <c r="A73" s="48" t="s">
        <v>193</v>
      </c>
      <c r="B73" s="19" t="s">
        <v>396</v>
      </c>
      <c r="C73" s="19" t="s">
        <v>397</v>
      </c>
      <c r="D73" s="19"/>
      <c r="E73" s="19" t="s">
        <v>716</v>
      </c>
      <c r="F73" s="56" t="s">
        <v>326</v>
      </c>
      <c r="G73" s="19"/>
      <c r="H73" s="19" t="s">
        <v>717</v>
      </c>
      <c r="I73" s="19" t="s">
        <v>346</v>
      </c>
      <c r="J73" s="70" t="s">
        <v>718</v>
      </c>
      <c r="K73" s="70" t="s">
        <v>33</v>
      </c>
      <c r="L73" s="48" t="s">
        <v>346</v>
      </c>
      <c r="M73" s="19" t="s">
        <v>329</v>
      </c>
      <c r="N73" s="19"/>
      <c r="O73" s="19"/>
      <c r="P73" s="19"/>
      <c r="Q73" s="89">
        <v>45882</v>
      </c>
      <c r="R73" s="89">
        <v>45882</v>
      </c>
      <c r="S73" s="75">
        <v>0</v>
      </c>
      <c r="T73" s="75">
        <v>0</v>
      </c>
      <c r="U73" s="75">
        <v>0</v>
      </c>
      <c r="V73" s="75">
        <v>0</v>
      </c>
      <c r="W73" s="19" t="s">
        <v>719</v>
      </c>
      <c r="X73" s="75">
        <v>0</v>
      </c>
      <c r="Y73" s="75">
        <v>0</v>
      </c>
      <c r="Z73" s="75">
        <v>0</v>
      </c>
      <c r="AA73" s="75">
        <v>0</v>
      </c>
      <c r="AB73" s="19"/>
      <c r="AC73" s="75">
        <v>0</v>
      </c>
      <c r="AD73" s="75">
        <v>0</v>
      </c>
      <c r="AE73" s="75">
        <v>0</v>
      </c>
      <c r="AF73" s="75">
        <v>0</v>
      </c>
      <c r="AG73" s="19" t="s">
        <v>352</v>
      </c>
      <c r="AH73" s="75">
        <v>0</v>
      </c>
      <c r="AI73" s="75">
        <v>0</v>
      </c>
      <c r="AJ73" s="75">
        <v>0</v>
      </c>
      <c r="AK73" s="75">
        <v>0</v>
      </c>
      <c r="AL73" s="19" t="s">
        <v>719</v>
      </c>
      <c r="AM73" s="75">
        <v>0</v>
      </c>
      <c r="AN73" s="75">
        <v>0</v>
      </c>
      <c r="AO73" s="75" t="s">
        <v>525</v>
      </c>
      <c r="AP73" s="75">
        <v>0</v>
      </c>
      <c r="AQ73" s="19"/>
      <c r="AR73" s="75">
        <v>0</v>
      </c>
      <c r="AS73" s="75">
        <v>0</v>
      </c>
      <c r="AT73" s="75">
        <v>0</v>
      </c>
      <c r="AU73" s="75">
        <v>0</v>
      </c>
      <c r="AV73" s="19"/>
    </row>
    <row r="74" spans="1:48" ht="100.8" x14ac:dyDescent="0.55000000000000004">
      <c r="A74" s="48" t="s">
        <v>194</v>
      </c>
      <c r="B74" s="47" t="s">
        <v>396</v>
      </c>
      <c r="C74" s="47" t="s">
        <v>397</v>
      </c>
      <c r="D74" s="47"/>
      <c r="E74" s="47" t="s">
        <v>720</v>
      </c>
      <c r="F74" s="65" t="s">
        <v>326</v>
      </c>
      <c r="G74" s="47"/>
      <c r="H74" s="47" t="s">
        <v>721</v>
      </c>
      <c r="I74" s="47" t="s">
        <v>346</v>
      </c>
      <c r="J74" s="67" t="s">
        <v>722</v>
      </c>
      <c r="K74" s="67" t="s">
        <v>34</v>
      </c>
      <c r="L74" s="48" t="s">
        <v>346</v>
      </c>
      <c r="M74" s="47" t="s">
        <v>329</v>
      </c>
      <c r="N74" s="47"/>
      <c r="O74" s="47" t="s">
        <v>598</v>
      </c>
      <c r="P74" s="47" t="s">
        <v>346</v>
      </c>
      <c r="Q74" s="90">
        <v>45882</v>
      </c>
      <c r="R74" s="90">
        <v>45882</v>
      </c>
      <c r="S74" s="68">
        <v>0</v>
      </c>
      <c r="T74" s="68">
        <v>0</v>
      </c>
      <c r="U74" s="68">
        <v>0</v>
      </c>
      <c r="V74" s="68">
        <v>0</v>
      </c>
      <c r="W74" s="47" t="s">
        <v>719</v>
      </c>
      <c r="X74" s="68">
        <v>0</v>
      </c>
      <c r="Y74" s="68">
        <v>0</v>
      </c>
      <c r="Z74" s="68">
        <v>0</v>
      </c>
      <c r="AA74" s="68">
        <v>0</v>
      </c>
      <c r="AB74" s="47"/>
      <c r="AC74" s="68">
        <v>0</v>
      </c>
      <c r="AD74" s="68">
        <v>0</v>
      </c>
      <c r="AE74" s="68">
        <v>0</v>
      </c>
      <c r="AF74" s="68">
        <v>0</v>
      </c>
      <c r="AG74" s="47" t="s">
        <v>352</v>
      </c>
      <c r="AH74" s="68">
        <v>0</v>
      </c>
      <c r="AI74" s="68">
        <v>0</v>
      </c>
      <c r="AJ74" s="68">
        <v>0</v>
      </c>
      <c r="AK74" s="68">
        <v>0</v>
      </c>
      <c r="AL74" s="47" t="s">
        <v>719</v>
      </c>
      <c r="AM74" s="68">
        <v>0</v>
      </c>
      <c r="AN74" s="68">
        <v>0</v>
      </c>
      <c r="AO74" s="68" t="s">
        <v>427</v>
      </c>
      <c r="AP74" s="68">
        <v>0</v>
      </c>
      <c r="AQ74" s="47"/>
      <c r="AR74" s="68">
        <v>0</v>
      </c>
      <c r="AS74" s="68">
        <v>0</v>
      </c>
      <c r="AT74" s="68">
        <v>0</v>
      </c>
      <c r="AU74" s="68">
        <v>0</v>
      </c>
      <c r="AV74" s="47"/>
    </row>
    <row r="75" spans="1:48" ht="129.6" x14ac:dyDescent="0.55000000000000004">
      <c r="A75" s="48" t="s">
        <v>195</v>
      </c>
      <c r="B75" s="54" t="s">
        <v>337</v>
      </c>
      <c r="C75" s="63" t="s">
        <v>338</v>
      </c>
      <c r="D75" s="19"/>
      <c r="E75" s="19" t="s">
        <v>723</v>
      </c>
      <c r="F75" s="56" t="s">
        <v>326</v>
      </c>
      <c r="G75" s="19"/>
      <c r="H75" s="19"/>
      <c r="I75" s="19" t="s">
        <v>346</v>
      </c>
      <c r="J75" s="70" t="s">
        <v>724</v>
      </c>
      <c r="K75" s="70" t="s">
        <v>35</v>
      </c>
      <c r="L75" s="48" t="s">
        <v>346</v>
      </c>
      <c r="M75" s="19" t="s">
        <v>346</v>
      </c>
      <c r="N75" s="19"/>
      <c r="O75" s="19" t="s">
        <v>598</v>
      </c>
      <c r="P75" s="19" t="s">
        <v>346</v>
      </c>
      <c r="Q75" s="89">
        <v>45882</v>
      </c>
      <c r="R75" s="89">
        <v>45882</v>
      </c>
      <c r="S75" s="75">
        <v>0</v>
      </c>
      <c r="T75" s="75">
        <v>0</v>
      </c>
      <c r="U75" s="75">
        <v>0</v>
      </c>
      <c r="V75" s="75">
        <v>0</v>
      </c>
      <c r="W75" s="19" t="s">
        <v>719</v>
      </c>
      <c r="X75" s="75">
        <v>0</v>
      </c>
      <c r="Y75" s="75">
        <v>0</v>
      </c>
      <c r="Z75" s="75">
        <v>0</v>
      </c>
      <c r="AA75" s="75">
        <v>0</v>
      </c>
      <c r="AB75" s="19" t="s">
        <v>406</v>
      </c>
      <c r="AC75" s="75">
        <v>0</v>
      </c>
      <c r="AD75" s="75">
        <v>0</v>
      </c>
      <c r="AE75" s="75">
        <v>0</v>
      </c>
      <c r="AF75" s="75">
        <v>0</v>
      </c>
      <c r="AG75" s="19" t="s">
        <v>352</v>
      </c>
      <c r="AH75" s="75">
        <v>0</v>
      </c>
      <c r="AI75" s="75">
        <v>0</v>
      </c>
      <c r="AJ75" s="75">
        <v>0</v>
      </c>
      <c r="AK75" s="75">
        <v>0</v>
      </c>
      <c r="AL75" s="19" t="s">
        <v>719</v>
      </c>
      <c r="AM75" s="75">
        <v>0</v>
      </c>
      <c r="AN75" s="75">
        <v>0</v>
      </c>
      <c r="AO75" s="75" t="s">
        <v>704</v>
      </c>
      <c r="AP75" s="75">
        <v>0</v>
      </c>
      <c r="AQ75" s="19"/>
      <c r="AR75" s="75">
        <v>0</v>
      </c>
      <c r="AS75" s="75">
        <v>0</v>
      </c>
      <c r="AT75" s="75">
        <v>0</v>
      </c>
      <c r="AU75" s="75">
        <v>0</v>
      </c>
      <c r="AV75" s="19"/>
    </row>
    <row r="76" spans="1:48" ht="129.6" x14ac:dyDescent="0.55000000000000004">
      <c r="A76" s="76" t="s">
        <v>197</v>
      </c>
      <c r="B76" s="64" t="s">
        <v>337</v>
      </c>
      <c r="C76" s="76" t="s">
        <v>634</v>
      </c>
      <c r="D76" s="76" t="s">
        <v>725</v>
      </c>
      <c r="E76" s="76"/>
      <c r="F76" s="77" t="s">
        <v>326</v>
      </c>
      <c r="G76" s="76"/>
      <c r="H76" s="76"/>
      <c r="I76" s="76" t="s">
        <v>346</v>
      </c>
      <c r="J76" s="78" t="s">
        <v>726</v>
      </c>
      <c r="K76" s="78" t="s">
        <v>36</v>
      </c>
      <c r="L76" s="48" t="s">
        <v>346</v>
      </c>
      <c r="M76" s="47" t="s">
        <v>329</v>
      </c>
      <c r="N76" s="76"/>
      <c r="O76" s="76" t="s">
        <v>598</v>
      </c>
      <c r="P76" s="76" t="s">
        <v>346</v>
      </c>
      <c r="Q76" s="91">
        <v>45850</v>
      </c>
      <c r="R76" s="91">
        <v>45850</v>
      </c>
      <c r="S76" s="79">
        <v>0</v>
      </c>
      <c r="T76" s="79">
        <v>0</v>
      </c>
      <c r="U76" s="79">
        <v>0</v>
      </c>
      <c r="V76" s="79">
        <v>0</v>
      </c>
      <c r="W76" s="76" t="s">
        <v>719</v>
      </c>
      <c r="X76" s="79">
        <v>0</v>
      </c>
      <c r="Y76" s="79">
        <v>0</v>
      </c>
      <c r="Z76" s="79">
        <v>0</v>
      </c>
      <c r="AA76" s="79">
        <v>0</v>
      </c>
      <c r="AB76" s="76"/>
      <c r="AC76" s="79">
        <v>0</v>
      </c>
      <c r="AD76" s="79">
        <v>0</v>
      </c>
      <c r="AE76" s="79">
        <v>0</v>
      </c>
      <c r="AF76" s="79">
        <v>0</v>
      </c>
      <c r="AG76" s="76" t="s">
        <v>352</v>
      </c>
      <c r="AH76" s="79">
        <v>0</v>
      </c>
      <c r="AI76" s="79">
        <v>0</v>
      </c>
      <c r="AJ76" s="79">
        <v>0</v>
      </c>
      <c r="AK76" s="79">
        <v>0</v>
      </c>
      <c r="AL76" s="76" t="s">
        <v>719</v>
      </c>
      <c r="AM76" s="79">
        <v>0</v>
      </c>
      <c r="AN76" s="79">
        <v>0</v>
      </c>
      <c r="AO76" s="79" t="s">
        <v>727</v>
      </c>
      <c r="AP76" s="79">
        <v>1</v>
      </c>
      <c r="AQ76" s="76"/>
      <c r="AR76" s="79">
        <v>0</v>
      </c>
      <c r="AS76" s="79">
        <v>0</v>
      </c>
      <c r="AT76" s="79">
        <v>0</v>
      </c>
      <c r="AU76" s="79">
        <v>0</v>
      </c>
      <c r="AV76" s="76"/>
    </row>
    <row r="77" spans="1:48" ht="86.4" x14ac:dyDescent="0.55000000000000004">
      <c r="A77" s="48" t="s">
        <v>198</v>
      </c>
      <c r="B77" s="54" t="s">
        <v>337</v>
      </c>
      <c r="C77" s="63" t="s">
        <v>338</v>
      </c>
      <c r="D77" s="19"/>
      <c r="E77" s="19"/>
      <c r="F77" s="56" t="s">
        <v>326</v>
      </c>
      <c r="G77" s="19"/>
      <c r="H77" s="19"/>
      <c r="I77" s="19" t="s">
        <v>346</v>
      </c>
      <c r="J77" s="70" t="s">
        <v>728</v>
      </c>
      <c r="K77" s="70" t="s">
        <v>37</v>
      </c>
      <c r="L77" s="48" t="s">
        <v>346</v>
      </c>
      <c r="M77" s="19" t="s">
        <v>329</v>
      </c>
      <c r="N77" s="19"/>
      <c r="O77" s="19" t="s">
        <v>598</v>
      </c>
      <c r="P77" s="19" t="s">
        <v>346</v>
      </c>
      <c r="Q77" s="92">
        <v>45662</v>
      </c>
      <c r="R77" s="92">
        <v>45663</v>
      </c>
      <c r="S77" s="75">
        <v>0</v>
      </c>
      <c r="T77" s="75">
        <v>0</v>
      </c>
      <c r="U77" s="75">
        <v>0</v>
      </c>
      <c r="V77" s="75">
        <v>0</v>
      </c>
      <c r="W77" s="19" t="s">
        <v>719</v>
      </c>
      <c r="X77" s="75">
        <v>0</v>
      </c>
      <c r="Y77" s="75">
        <v>0</v>
      </c>
      <c r="Z77" s="75">
        <v>0</v>
      </c>
      <c r="AA77" s="75">
        <v>0</v>
      </c>
      <c r="AB77" s="19"/>
      <c r="AC77" s="75">
        <v>0</v>
      </c>
      <c r="AD77" s="75">
        <v>0</v>
      </c>
      <c r="AE77" s="75">
        <v>0</v>
      </c>
      <c r="AF77" s="75">
        <v>0</v>
      </c>
      <c r="AG77" s="19" t="s">
        <v>352</v>
      </c>
      <c r="AH77" s="75">
        <v>0</v>
      </c>
      <c r="AI77" s="75">
        <v>0</v>
      </c>
      <c r="AJ77" s="75">
        <v>0</v>
      </c>
      <c r="AK77" s="75">
        <v>0</v>
      </c>
      <c r="AL77" s="19" t="s">
        <v>719</v>
      </c>
      <c r="AM77" s="75">
        <v>0</v>
      </c>
      <c r="AN77" s="75">
        <v>0</v>
      </c>
      <c r="AO77" s="75">
        <v>1</v>
      </c>
      <c r="AP77" s="75">
        <v>0</v>
      </c>
      <c r="AQ77" s="19"/>
      <c r="AR77" s="75">
        <v>0</v>
      </c>
      <c r="AS77" s="75">
        <v>0</v>
      </c>
      <c r="AT77" s="75">
        <v>0</v>
      </c>
      <c r="AU77" s="75">
        <v>0</v>
      </c>
      <c r="AV77" s="19"/>
    </row>
    <row r="78" spans="1:48" ht="158.4" x14ac:dyDescent="0.55000000000000004">
      <c r="A78" s="48" t="s">
        <v>730</v>
      </c>
      <c r="B78" s="19" t="s">
        <v>396</v>
      </c>
      <c r="C78" s="19" t="s">
        <v>408</v>
      </c>
      <c r="D78" s="19" t="s">
        <v>731</v>
      </c>
      <c r="E78" s="19"/>
      <c r="F78" s="56" t="s">
        <v>326</v>
      </c>
      <c r="G78" s="19"/>
      <c r="H78" s="19"/>
      <c r="I78" s="19" t="s">
        <v>346</v>
      </c>
      <c r="J78" s="70" t="s">
        <v>732</v>
      </c>
      <c r="K78" s="70" t="s">
        <v>733</v>
      </c>
      <c r="L78" s="19" t="s">
        <v>329</v>
      </c>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row>
    <row r="79" spans="1:48" ht="86.4" x14ac:dyDescent="0.55000000000000004">
      <c r="A79" s="93" t="s">
        <v>734</v>
      </c>
      <c r="B79" s="47" t="s">
        <v>453</v>
      </c>
      <c r="C79" s="93" t="s">
        <v>735</v>
      </c>
      <c r="D79" s="93" t="s">
        <v>736</v>
      </c>
      <c r="E79" s="93" t="s">
        <v>737</v>
      </c>
      <c r="F79" s="94" t="s">
        <v>326</v>
      </c>
      <c r="G79" s="93"/>
      <c r="H79" s="93" t="s">
        <v>738</v>
      </c>
      <c r="I79" s="93" t="s">
        <v>346</v>
      </c>
      <c r="J79" s="96" t="s">
        <v>739</v>
      </c>
      <c r="K79" s="96" t="s">
        <v>740</v>
      </c>
      <c r="L79" s="93" t="s">
        <v>329</v>
      </c>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c r="AV79" s="93"/>
    </row>
    <row r="80" spans="1:48" ht="115.2" x14ac:dyDescent="0.55000000000000004">
      <c r="A80" s="61" t="s">
        <v>741</v>
      </c>
      <c r="B80" s="61" t="s">
        <v>333</v>
      </c>
      <c r="C80" s="61" t="s">
        <v>333</v>
      </c>
      <c r="D80" s="61" t="s">
        <v>742</v>
      </c>
      <c r="E80" s="61" t="s">
        <v>743</v>
      </c>
      <c r="F80" s="83" t="s">
        <v>326</v>
      </c>
      <c r="G80" s="61"/>
      <c r="H80" s="61" t="s">
        <v>744</v>
      </c>
      <c r="I80" s="61" t="s">
        <v>346</v>
      </c>
      <c r="J80" s="84" t="s">
        <v>724</v>
      </c>
      <c r="K80" s="84" t="s">
        <v>733</v>
      </c>
      <c r="L80" s="61" t="s">
        <v>329</v>
      </c>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row>
    <row r="81" spans="1:48" x14ac:dyDescent="0.55000000000000004">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row>
    <row r="82" spans="1:48" ht="57.6" x14ac:dyDescent="0.55000000000000004">
      <c r="A82" s="51" t="s">
        <v>133</v>
      </c>
      <c r="B82" s="51" t="s">
        <v>134</v>
      </c>
      <c r="C82" s="51" t="s">
        <v>306</v>
      </c>
      <c r="D82" s="50"/>
      <c r="E82" s="51" t="s">
        <v>307</v>
      </c>
      <c r="F82" s="51" t="s">
        <v>136</v>
      </c>
      <c r="G82" s="51" t="s">
        <v>308</v>
      </c>
      <c r="H82" s="51" t="s">
        <v>309</v>
      </c>
      <c r="I82" s="51" t="s">
        <v>310</v>
      </c>
      <c r="J82" s="51" t="s">
        <v>311</v>
      </c>
      <c r="K82" s="51" t="s">
        <v>57</v>
      </c>
      <c r="L82" s="51" t="s">
        <v>312</v>
      </c>
      <c r="M82" s="50" t="s">
        <v>329</v>
      </c>
      <c r="N82" s="51" t="s">
        <v>314</v>
      </c>
      <c r="O82" s="51" t="s">
        <v>315</v>
      </c>
      <c r="P82" s="51" t="s">
        <v>316</v>
      </c>
      <c r="Q82" s="51" t="s">
        <v>317</v>
      </c>
      <c r="R82" s="51" t="s">
        <v>318</v>
      </c>
      <c r="S82" s="51" t="s">
        <v>319</v>
      </c>
      <c r="T82" s="51" t="s">
        <v>320</v>
      </c>
      <c r="U82" s="51" t="s">
        <v>60</v>
      </c>
      <c r="V82" s="51" t="s">
        <v>61</v>
      </c>
      <c r="W82" s="51" t="s">
        <v>314</v>
      </c>
      <c r="X82" s="51" t="s">
        <v>319</v>
      </c>
      <c r="Y82" s="51" t="s">
        <v>320</v>
      </c>
      <c r="Z82" s="51" t="s">
        <v>60</v>
      </c>
      <c r="AA82" s="51" t="s">
        <v>61</v>
      </c>
      <c r="AB82" s="51" t="s">
        <v>314</v>
      </c>
      <c r="AC82" s="51" t="s">
        <v>319</v>
      </c>
      <c r="AD82" s="51" t="s">
        <v>320</v>
      </c>
      <c r="AE82" s="51" t="s">
        <v>60</v>
      </c>
      <c r="AF82" s="51" t="s">
        <v>61</v>
      </c>
      <c r="AG82" s="51" t="s">
        <v>314</v>
      </c>
      <c r="AH82" s="51" t="s">
        <v>319</v>
      </c>
      <c r="AI82" s="51" t="s">
        <v>320</v>
      </c>
      <c r="AJ82" s="51" t="s">
        <v>60</v>
      </c>
      <c r="AK82" s="51" t="s">
        <v>61</v>
      </c>
      <c r="AL82" s="51" t="s">
        <v>314</v>
      </c>
      <c r="AM82" s="51" t="s">
        <v>319</v>
      </c>
      <c r="AN82" s="51" t="s">
        <v>320</v>
      </c>
      <c r="AO82" s="51" t="s">
        <v>60</v>
      </c>
      <c r="AP82" s="51" t="s">
        <v>61</v>
      </c>
      <c r="AQ82" s="51" t="s">
        <v>314</v>
      </c>
      <c r="AR82" s="51" t="s">
        <v>319</v>
      </c>
      <c r="AS82" s="51" t="s">
        <v>320</v>
      </c>
      <c r="AT82" s="51" t="s">
        <v>60</v>
      </c>
      <c r="AU82" s="51" t="s">
        <v>61</v>
      </c>
      <c r="AV82" s="51" t="s">
        <v>314</v>
      </c>
    </row>
    <row r="83" spans="1:48" ht="158.4" x14ac:dyDescent="0.55000000000000004">
      <c r="A83" s="48" t="s">
        <v>214</v>
      </c>
      <c r="B83" s="19" t="s">
        <v>342</v>
      </c>
      <c r="C83" s="63" t="s">
        <v>419</v>
      </c>
      <c r="D83" s="19"/>
      <c r="E83" s="19" t="s">
        <v>745</v>
      </c>
      <c r="F83" s="56" t="s">
        <v>326</v>
      </c>
      <c r="G83" s="19"/>
      <c r="H83" s="19" t="s">
        <v>746</v>
      </c>
      <c r="I83" s="19" t="s">
        <v>346</v>
      </c>
      <c r="J83" s="70" t="s">
        <v>747</v>
      </c>
      <c r="K83" s="70" t="s">
        <v>46</v>
      </c>
      <c r="L83" s="48" t="s">
        <v>346</v>
      </c>
      <c r="M83" s="19" t="s">
        <v>329</v>
      </c>
      <c r="N83" s="19" t="s">
        <v>333</v>
      </c>
      <c r="O83" s="19" t="s">
        <v>598</v>
      </c>
      <c r="P83" s="19" t="s">
        <v>346</v>
      </c>
      <c r="Q83" s="97">
        <v>23802</v>
      </c>
      <c r="R83" s="97">
        <v>23802</v>
      </c>
      <c r="S83" s="75">
        <v>0</v>
      </c>
      <c r="T83" s="75">
        <v>0</v>
      </c>
      <c r="U83" s="75">
        <v>0</v>
      </c>
      <c r="V83" s="75">
        <v>0</v>
      </c>
      <c r="W83" s="19" t="s">
        <v>748</v>
      </c>
      <c r="X83" s="75">
        <v>0</v>
      </c>
      <c r="Y83" s="75">
        <v>0</v>
      </c>
      <c r="Z83" s="75">
        <v>0</v>
      </c>
      <c r="AA83" s="19"/>
      <c r="AB83" s="19" t="s">
        <v>406</v>
      </c>
      <c r="AC83" s="75">
        <v>0</v>
      </c>
      <c r="AD83" s="75">
        <v>0</v>
      </c>
      <c r="AE83" s="75">
        <v>0</v>
      </c>
      <c r="AF83" s="75">
        <v>0</v>
      </c>
      <c r="AG83" s="19" t="s">
        <v>352</v>
      </c>
      <c r="AH83" s="75">
        <v>0</v>
      </c>
      <c r="AI83" s="75">
        <v>0</v>
      </c>
      <c r="AJ83" s="75">
        <v>0</v>
      </c>
      <c r="AK83" s="75">
        <v>0</v>
      </c>
      <c r="AL83" s="19" t="s">
        <v>749</v>
      </c>
      <c r="AM83" s="75" t="s">
        <v>510</v>
      </c>
      <c r="AN83" s="75">
        <v>0</v>
      </c>
      <c r="AO83" s="75">
        <v>1</v>
      </c>
      <c r="AP83" s="75">
        <v>1</v>
      </c>
      <c r="AQ83" s="19"/>
      <c r="AR83" s="75">
        <v>0</v>
      </c>
      <c r="AS83" s="75">
        <v>0</v>
      </c>
      <c r="AT83" s="75">
        <v>0</v>
      </c>
      <c r="AU83" s="75">
        <v>0</v>
      </c>
      <c r="AV83" s="19"/>
    </row>
    <row r="84" spans="1:48" ht="14.4" customHeight="1" x14ac:dyDescent="0.55000000000000004">
      <c r="A84" s="87"/>
      <c r="B84" s="87"/>
      <c r="C84" s="87"/>
      <c r="D84" s="87"/>
      <c r="E84" s="87"/>
      <c r="F84" s="87"/>
      <c r="G84" s="87"/>
      <c r="H84" s="87"/>
      <c r="I84" s="87"/>
      <c r="J84" s="87"/>
      <c r="K84" s="87"/>
      <c r="L84" s="87"/>
      <c r="M84" s="87"/>
      <c r="N84" s="87"/>
      <c r="O84" s="87"/>
      <c r="P84" s="87"/>
      <c r="Q84" s="87"/>
      <c r="R84" s="87"/>
      <c r="S84" s="137" t="s">
        <v>227</v>
      </c>
      <c r="T84" s="137"/>
      <c r="U84" s="137"/>
      <c r="V84" s="137"/>
      <c r="W84" s="137"/>
      <c r="X84" s="137" t="s">
        <v>217</v>
      </c>
      <c r="Y84" s="137"/>
      <c r="Z84" s="137"/>
      <c r="AA84" s="137"/>
      <c r="AB84" s="137"/>
      <c r="AC84" s="137" t="s">
        <v>590</v>
      </c>
      <c r="AD84" s="137"/>
      <c r="AE84" s="137"/>
      <c r="AF84" s="137"/>
      <c r="AG84" s="137"/>
      <c r="AH84" s="137" t="s">
        <v>227</v>
      </c>
      <c r="AI84" s="137"/>
      <c r="AJ84" s="137"/>
      <c r="AK84" s="137"/>
      <c r="AL84" s="137"/>
      <c r="AM84" s="137" t="s">
        <v>217</v>
      </c>
      <c r="AN84" s="137"/>
      <c r="AO84" s="137"/>
      <c r="AP84" s="137"/>
      <c r="AQ84" s="137"/>
      <c r="AR84" s="137" t="s">
        <v>590</v>
      </c>
      <c r="AS84" s="137"/>
      <c r="AT84" s="137"/>
      <c r="AU84" s="137"/>
      <c r="AV84" s="137"/>
    </row>
    <row r="85" spans="1:48" ht="57.6" x14ac:dyDescent="0.55000000000000004">
      <c r="A85" s="51" t="s">
        <v>133</v>
      </c>
      <c r="B85" s="51" t="s">
        <v>134</v>
      </c>
      <c r="C85" s="51" t="s">
        <v>306</v>
      </c>
      <c r="D85" s="50"/>
      <c r="E85" s="51" t="s">
        <v>307</v>
      </c>
      <c r="F85" s="51" t="s">
        <v>136</v>
      </c>
      <c r="G85" s="51" t="s">
        <v>308</v>
      </c>
      <c r="H85" s="51" t="s">
        <v>309</v>
      </c>
      <c r="I85" s="51" t="s">
        <v>310</v>
      </c>
      <c r="J85" s="51" t="s">
        <v>311</v>
      </c>
      <c r="K85" s="51" t="s">
        <v>57</v>
      </c>
      <c r="L85" s="51" t="s">
        <v>312</v>
      </c>
      <c r="M85" s="50" t="s">
        <v>346</v>
      </c>
      <c r="N85" s="51" t="s">
        <v>314</v>
      </c>
      <c r="O85" s="51" t="s">
        <v>315</v>
      </c>
      <c r="P85" s="51" t="s">
        <v>316</v>
      </c>
      <c r="Q85" s="51" t="s">
        <v>317</v>
      </c>
      <c r="R85" s="51" t="s">
        <v>318</v>
      </c>
      <c r="S85" s="51" t="s">
        <v>319</v>
      </c>
      <c r="T85" s="51" t="s">
        <v>320</v>
      </c>
      <c r="U85" s="51" t="s">
        <v>60</v>
      </c>
      <c r="V85" s="51" t="s">
        <v>591</v>
      </c>
      <c r="W85" s="51" t="s">
        <v>314</v>
      </c>
      <c r="X85" s="51" t="s">
        <v>319</v>
      </c>
      <c r="Y85" s="51" t="s">
        <v>320</v>
      </c>
      <c r="Z85" s="51" t="s">
        <v>60</v>
      </c>
      <c r="AA85" s="51" t="s">
        <v>61</v>
      </c>
      <c r="AB85" s="51" t="s">
        <v>314</v>
      </c>
      <c r="AC85" s="51" t="s">
        <v>319</v>
      </c>
      <c r="AD85" s="51" t="s">
        <v>320</v>
      </c>
      <c r="AE85" s="51" t="s">
        <v>60</v>
      </c>
      <c r="AF85" s="51" t="s">
        <v>61</v>
      </c>
      <c r="AG85" s="51" t="s">
        <v>314</v>
      </c>
      <c r="AH85" s="51" t="s">
        <v>319</v>
      </c>
      <c r="AI85" s="51" t="s">
        <v>320</v>
      </c>
      <c r="AJ85" s="51" t="s">
        <v>60</v>
      </c>
      <c r="AK85" s="51" t="s">
        <v>591</v>
      </c>
      <c r="AL85" s="51" t="s">
        <v>314</v>
      </c>
      <c r="AM85" s="51" t="s">
        <v>319</v>
      </c>
      <c r="AN85" s="51" t="s">
        <v>320</v>
      </c>
      <c r="AO85" s="51" t="s">
        <v>60</v>
      </c>
      <c r="AP85" s="51" t="s">
        <v>61</v>
      </c>
      <c r="AQ85" s="51" t="s">
        <v>314</v>
      </c>
      <c r="AR85" s="51" t="s">
        <v>319</v>
      </c>
      <c r="AS85" s="51" t="s">
        <v>320</v>
      </c>
      <c r="AT85" s="51" t="s">
        <v>60</v>
      </c>
      <c r="AU85" s="51" t="s">
        <v>61</v>
      </c>
      <c r="AV85" s="51" t="s">
        <v>314</v>
      </c>
    </row>
    <row r="86" spans="1:48" ht="144" x14ac:dyDescent="0.55000000000000004">
      <c r="A86" s="48" t="s">
        <v>203</v>
      </c>
      <c r="B86" s="54" t="s">
        <v>337</v>
      </c>
      <c r="C86" s="19" t="s">
        <v>413</v>
      </c>
      <c r="D86" s="19" t="s">
        <v>750</v>
      </c>
      <c r="E86" s="19" t="s">
        <v>751</v>
      </c>
      <c r="F86" s="56" t="s">
        <v>326</v>
      </c>
      <c r="G86" s="19"/>
      <c r="H86" s="19" t="s">
        <v>752</v>
      </c>
      <c r="I86" s="19" t="s">
        <v>346</v>
      </c>
      <c r="J86" s="70" t="s">
        <v>753</v>
      </c>
      <c r="K86" s="70" t="s">
        <v>39</v>
      </c>
      <c r="L86" s="48" t="s">
        <v>346</v>
      </c>
      <c r="M86" s="19" t="s">
        <v>329</v>
      </c>
      <c r="N86" s="19" t="s">
        <v>754</v>
      </c>
      <c r="O86" s="19"/>
      <c r="P86" s="19" t="s">
        <v>346</v>
      </c>
      <c r="Q86" s="19"/>
      <c r="R86" s="75">
        <v>0</v>
      </c>
      <c r="S86" s="75">
        <v>1</v>
      </c>
      <c r="T86" s="75" t="s">
        <v>468</v>
      </c>
      <c r="U86" s="75">
        <v>2</v>
      </c>
      <c r="V86" s="75">
        <v>2</v>
      </c>
      <c r="W86" s="19" t="s">
        <v>755</v>
      </c>
      <c r="X86" s="75" t="s">
        <v>510</v>
      </c>
      <c r="Y86" s="75">
        <v>0</v>
      </c>
      <c r="Z86" s="75">
        <v>1</v>
      </c>
      <c r="AA86" s="75">
        <v>1</v>
      </c>
      <c r="AB86" s="19"/>
      <c r="AC86" s="75" t="s">
        <v>468</v>
      </c>
      <c r="AD86" s="75" t="s">
        <v>468</v>
      </c>
      <c r="AE86" s="75">
        <v>2</v>
      </c>
      <c r="AF86" s="75">
        <v>2</v>
      </c>
      <c r="AG86" s="19" t="s">
        <v>756</v>
      </c>
      <c r="AH86" s="75" t="s">
        <v>757</v>
      </c>
      <c r="AI86" s="75">
        <v>1</v>
      </c>
      <c r="AJ86" s="75">
        <v>3</v>
      </c>
      <c r="AK86" s="75">
        <v>3</v>
      </c>
      <c r="AL86" s="19"/>
      <c r="AM86" s="75">
        <v>0</v>
      </c>
      <c r="AN86" s="75">
        <v>0</v>
      </c>
      <c r="AO86" s="75">
        <v>0</v>
      </c>
      <c r="AP86" s="75">
        <v>0</v>
      </c>
      <c r="AQ86" s="19"/>
      <c r="AR86" s="75">
        <v>0</v>
      </c>
      <c r="AS86" s="75">
        <v>0</v>
      </c>
      <c r="AT86" s="75">
        <v>0</v>
      </c>
      <c r="AU86" s="75">
        <v>0</v>
      </c>
      <c r="AV86" s="19"/>
    </row>
    <row r="87" spans="1:48" ht="216" x14ac:dyDescent="0.55000000000000004">
      <c r="A87" s="48" t="s">
        <v>758</v>
      </c>
      <c r="B87" s="64" t="s">
        <v>337</v>
      </c>
      <c r="C87" s="47" t="s">
        <v>364</v>
      </c>
      <c r="D87" s="81" t="s">
        <v>759</v>
      </c>
      <c r="E87" s="47" t="s">
        <v>760</v>
      </c>
      <c r="F87" s="65" t="s">
        <v>326</v>
      </c>
      <c r="G87" s="47"/>
      <c r="H87" s="47" t="s">
        <v>761</v>
      </c>
      <c r="I87" s="47" t="s">
        <v>346</v>
      </c>
      <c r="J87" s="67" t="s">
        <v>762</v>
      </c>
      <c r="K87" s="67" t="s">
        <v>763</v>
      </c>
      <c r="L87" s="47" t="s">
        <v>329</v>
      </c>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row>
    <row r="88" spans="1:48" ht="129.6" x14ac:dyDescent="0.55000000000000004">
      <c r="A88" s="48" t="s">
        <v>764</v>
      </c>
      <c r="B88" s="54" t="s">
        <v>337</v>
      </c>
      <c r="C88" s="63" t="s">
        <v>338</v>
      </c>
      <c r="D88" s="19"/>
      <c r="E88" s="19" t="s">
        <v>765</v>
      </c>
      <c r="F88" s="56" t="s">
        <v>326</v>
      </c>
      <c r="G88" s="19"/>
      <c r="H88" s="19" t="s">
        <v>766</v>
      </c>
      <c r="I88" s="19" t="s">
        <v>346</v>
      </c>
      <c r="J88" s="70" t="s">
        <v>767</v>
      </c>
      <c r="K88" s="70" t="s">
        <v>768</v>
      </c>
      <c r="L88" s="19" t="s">
        <v>329</v>
      </c>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row>
    <row r="89" spans="1:48" ht="158.4" x14ac:dyDescent="0.55000000000000004">
      <c r="A89" s="93" t="s">
        <v>769</v>
      </c>
      <c r="B89" s="93" t="s">
        <v>322</v>
      </c>
      <c r="C89" s="93" t="s">
        <v>323</v>
      </c>
      <c r="D89" s="93" t="s">
        <v>770</v>
      </c>
      <c r="E89" s="93" t="s">
        <v>771</v>
      </c>
      <c r="F89" s="94" t="s">
        <v>326</v>
      </c>
      <c r="G89" s="93"/>
      <c r="H89" s="96" t="s">
        <v>772</v>
      </c>
      <c r="I89" s="93" t="s">
        <v>346</v>
      </c>
      <c r="J89" s="96" t="s">
        <v>773</v>
      </c>
      <c r="K89" s="96" t="s">
        <v>774</v>
      </c>
      <c r="L89" s="93" t="s">
        <v>329</v>
      </c>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row>
    <row r="90" spans="1:48" ht="144" x14ac:dyDescent="0.55000000000000004">
      <c r="A90" s="61" t="s">
        <v>775</v>
      </c>
      <c r="B90" s="61" t="s">
        <v>333</v>
      </c>
      <c r="C90" s="61" t="s">
        <v>333</v>
      </c>
      <c r="D90" s="61"/>
      <c r="E90" s="61" t="s">
        <v>776</v>
      </c>
      <c r="F90" s="83" t="s">
        <v>326</v>
      </c>
      <c r="G90" s="61"/>
      <c r="H90" s="84" t="s">
        <v>777</v>
      </c>
      <c r="I90" s="61" t="s">
        <v>346</v>
      </c>
      <c r="J90" s="84" t="s">
        <v>778</v>
      </c>
      <c r="K90" s="84" t="s">
        <v>779</v>
      </c>
      <c r="L90" s="61" t="s">
        <v>329</v>
      </c>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row>
    <row r="91" spans="1:48" ht="100.8" x14ac:dyDescent="0.55000000000000004">
      <c r="A91" s="93" t="s">
        <v>780</v>
      </c>
      <c r="B91" s="47" t="s">
        <v>453</v>
      </c>
      <c r="C91" s="93" t="s">
        <v>648</v>
      </c>
      <c r="D91" s="93" t="s">
        <v>781</v>
      </c>
      <c r="E91" s="93" t="s">
        <v>782</v>
      </c>
      <c r="F91" s="94" t="s">
        <v>326</v>
      </c>
      <c r="G91" s="93"/>
      <c r="H91" s="93" t="s">
        <v>783</v>
      </c>
      <c r="I91" s="93" t="s">
        <v>346</v>
      </c>
      <c r="J91" s="96" t="s">
        <v>784</v>
      </c>
      <c r="K91" s="96" t="s">
        <v>785</v>
      </c>
      <c r="L91" s="93" t="s">
        <v>329</v>
      </c>
      <c r="M91" s="93"/>
      <c r="N91" s="93"/>
      <c r="O91" s="93"/>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c r="AQ91" s="93"/>
      <c r="AR91" s="93"/>
      <c r="AS91" s="93"/>
      <c r="AT91" s="93"/>
      <c r="AU91" s="93"/>
      <c r="AV91" s="93"/>
    </row>
    <row r="92" spans="1:48" ht="100.8" x14ac:dyDescent="0.55000000000000004">
      <c r="A92" s="93" t="s">
        <v>786</v>
      </c>
      <c r="B92" s="19" t="s">
        <v>453</v>
      </c>
      <c r="C92" s="93" t="s">
        <v>735</v>
      </c>
      <c r="D92" s="93" t="s">
        <v>736</v>
      </c>
      <c r="E92" s="93" t="s">
        <v>787</v>
      </c>
      <c r="F92" s="94" t="s">
        <v>326</v>
      </c>
      <c r="G92" s="93"/>
      <c r="H92" s="93" t="s">
        <v>786</v>
      </c>
      <c r="I92" s="93" t="s">
        <v>346</v>
      </c>
      <c r="J92" s="96" t="s">
        <v>788</v>
      </c>
      <c r="K92" s="96" t="s">
        <v>789</v>
      </c>
      <c r="L92" s="93" t="s">
        <v>329</v>
      </c>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row>
    <row r="93" spans="1:48" ht="158.4" x14ac:dyDescent="0.55000000000000004">
      <c r="A93" s="48" t="s">
        <v>790</v>
      </c>
      <c r="B93" s="64" t="s">
        <v>337</v>
      </c>
      <c r="C93" s="47" t="s">
        <v>413</v>
      </c>
      <c r="D93" s="47" t="s">
        <v>750</v>
      </c>
      <c r="E93" s="47" t="s">
        <v>791</v>
      </c>
      <c r="F93" s="65" t="s">
        <v>326</v>
      </c>
      <c r="G93" s="47"/>
      <c r="H93" s="47" t="s">
        <v>792</v>
      </c>
      <c r="I93" s="47" t="s">
        <v>346</v>
      </c>
      <c r="J93" s="67" t="s">
        <v>793</v>
      </c>
      <c r="K93" s="67" t="s">
        <v>794</v>
      </c>
      <c r="L93" s="47" t="s">
        <v>329</v>
      </c>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row>
    <row r="94" spans="1:48" ht="187.2" x14ac:dyDescent="0.55000000000000004">
      <c r="A94" s="48" t="s">
        <v>795</v>
      </c>
      <c r="B94" s="19" t="s">
        <v>453</v>
      </c>
      <c r="C94" s="19" t="s">
        <v>454</v>
      </c>
      <c r="D94" s="19" t="s">
        <v>796</v>
      </c>
      <c r="E94" s="19" t="s">
        <v>797</v>
      </c>
      <c r="F94" s="56" t="s">
        <v>326</v>
      </c>
      <c r="G94" s="19"/>
      <c r="H94" s="19" t="s">
        <v>798</v>
      </c>
      <c r="I94" s="19" t="s">
        <v>346</v>
      </c>
      <c r="J94" s="70" t="s">
        <v>799</v>
      </c>
      <c r="K94" s="70" t="s">
        <v>800</v>
      </c>
      <c r="L94" s="19" t="s">
        <v>329</v>
      </c>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row>
    <row r="95" spans="1:48" ht="144" x14ac:dyDescent="0.55000000000000004">
      <c r="A95" s="61" t="s">
        <v>801</v>
      </c>
      <c r="B95" s="61" t="s">
        <v>333</v>
      </c>
      <c r="C95" s="61" t="s">
        <v>333</v>
      </c>
      <c r="D95" s="61" t="s">
        <v>802</v>
      </c>
      <c r="E95" s="61" t="s">
        <v>803</v>
      </c>
      <c r="F95" s="83" t="s">
        <v>326</v>
      </c>
      <c r="G95" s="61"/>
      <c r="H95" s="61" t="s">
        <v>804</v>
      </c>
      <c r="I95" s="61" t="s">
        <v>346</v>
      </c>
      <c r="J95" s="84" t="s">
        <v>805</v>
      </c>
      <c r="K95" s="84" t="s">
        <v>806</v>
      </c>
      <c r="L95" s="61" t="s">
        <v>329</v>
      </c>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row>
    <row r="96" spans="1:48" ht="100.8" x14ac:dyDescent="0.55000000000000004">
      <c r="A96" s="48" t="s">
        <v>807</v>
      </c>
      <c r="B96" s="19" t="s">
        <v>568</v>
      </c>
      <c r="C96" s="63" t="s">
        <v>569</v>
      </c>
      <c r="D96" s="19" t="s">
        <v>808</v>
      </c>
      <c r="E96" s="19" t="s">
        <v>809</v>
      </c>
      <c r="F96" s="56" t="s">
        <v>326</v>
      </c>
      <c r="G96" s="19"/>
      <c r="H96" s="19" t="s">
        <v>810</v>
      </c>
      <c r="I96" s="19" t="s">
        <v>346</v>
      </c>
      <c r="J96" s="70" t="s">
        <v>811</v>
      </c>
      <c r="K96" s="70" t="s">
        <v>812</v>
      </c>
      <c r="L96" s="19" t="s">
        <v>329</v>
      </c>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row>
    <row r="97" spans="1:48" ht="100.8" x14ac:dyDescent="0.55000000000000004">
      <c r="A97" s="48" t="s">
        <v>813</v>
      </c>
      <c r="B97" s="64" t="s">
        <v>337</v>
      </c>
      <c r="C97" s="47" t="s">
        <v>814</v>
      </c>
      <c r="D97" s="47" t="s">
        <v>815</v>
      </c>
      <c r="E97" s="47" t="s">
        <v>816</v>
      </c>
      <c r="F97" s="65" t="s">
        <v>326</v>
      </c>
      <c r="G97" s="47"/>
      <c r="H97" s="47" t="s">
        <v>817</v>
      </c>
      <c r="I97" s="47" t="s">
        <v>346</v>
      </c>
      <c r="J97" s="67" t="s">
        <v>818</v>
      </c>
      <c r="K97" s="67" t="s">
        <v>819</v>
      </c>
      <c r="L97" s="47" t="s">
        <v>329</v>
      </c>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row>
    <row r="98" spans="1:48" ht="187.2" x14ac:dyDescent="0.55000000000000004">
      <c r="A98" s="48" t="s">
        <v>820</v>
      </c>
      <c r="B98" s="19" t="s">
        <v>354</v>
      </c>
      <c r="C98" s="19" t="s">
        <v>372</v>
      </c>
      <c r="D98" s="86" t="s">
        <v>821</v>
      </c>
      <c r="E98" s="19" t="s">
        <v>822</v>
      </c>
      <c r="F98" s="56" t="s">
        <v>326</v>
      </c>
      <c r="G98" s="19"/>
      <c r="H98" s="19" t="s">
        <v>823</v>
      </c>
      <c r="I98" s="19" t="s">
        <v>346</v>
      </c>
      <c r="J98" s="70" t="s">
        <v>824</v>
      </c>
      <c r="K98" s="70" t="s">
        <v>825</v>
      </c>
      <c r="L98" s="19" t="s">
        <v>329</v>
      </c>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row>
    <row r="99" spans="1:48" ht="129.6" x14ac:dyDescent="0.55000000000000004">
      <c r="A99" s="48" t="s">
        <v>826</v>
      </c>
      <c r="B99" s="64" t="s">
        <v>337</v>
      </c>
      <c r="C99" s="47" t="s">
        <v>434</v>
      </c>
      <c r="D99" s="47" t="s">
        <v>827</v>
      </c>
      <c r="E99" s="47" t="s">
        <v>828</v>
      </c>
      <c r="F99" s="65" t="s">
        <v>326</v>
      </c>
      <c r="G99" s="47"/>
      <c r="H99" s="47" t="s">
        <v>829</v>
      </c>
      <c r="I99" s="47" t="s">
        <v>346</v>
      </c>
      <c r="J99" s="67" t="s">
        <v>830</v>
      </c>
      <c r="K99" s="67" t="s">
        <v>831</v>
      </c>
      <c r="L99" s="47" t="s">
        <v>329</v>
      </c>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row>
    <row r="100" spans="1:48" ht="129.6" x14ac:dyDescent="0.55000000000000004">
      <c r="A100" s="48" t="s">
        <v>832</v>
      </c>
      <c r="B100" s="54" t="s">
        <v>337</v>
      </c>
      <c r="C100" s="19" t="s">
        <v>434</v>
      </c>
      <c r="D100" s="19" t="s">
        <v>827</v>
      </c>
      <c r="E100" s="19" t="s">
        <v>828</v>
      </c>
      <c r="F100" s="56" t="s">
        <v>326</v>
      </c>
      <c r="G100" s="19"/>
      <c r="H100" s="19" t="s">
        <v>829</v>
      </c>
      <c r="I100" s="19" t="s">
        <v>346</v>
      </c>
      <c r="J100" s="70" t="s">
        <v>830</v>
      </c>
      <c r="K100" s="70" t="s">
        <v>831</v>
      </c>
      <c r="L100" s="19" t="s">
        <v>329</v>
      </c>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row>
    <row r="101" spans="1:48" ht="100.8" x14ac:dyDescent="0.55000000000000004">
      <c r="A101" s="48" t="s">
        <v>833</v>
      </c>
      <c r="B101" s="64" t="s">
        <v>337</v>
      </c>
      <c r="C101" s="85" t="s">
        <v>634</v>
      </c>
      <c r="D101" s="47"/>
      <c r="E101" s="47" t="s">
        <v>834</v>
      </c>
      <c r="F101" s="65" t="s">
        <v>326</v>
      </c>
      <c r="G101" s="47"/>
      <c r="H101" s="47" t="s">
        <v>835</v>
      </c>
      <c r="I101" s="47" t="s">
        <v>346</v>
      </c>
      <c r="J101" s="67" t="s">
        <v>836</v>
      </c>
      <c r="K101" s="67" t="s">
        <v>837</v>
      </c>
      <c r="L101" s="47" t="s">
        <v>329</v>
      </c>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row>
    <row r="102" spans="1:48" ht="172.8" x14ac:dyDescent="0.55000000000000004">
      <c r="A102" s="48" t="s">
        <v>838</v>
      </c>
      <c r="B102" s="19" t="s">
        <v>354</v>
      </c>
      <c r="C102" s="19" t="s">
        <v>355</v>
      </c>
      <c r="D102" s="19" t="s">
        <v>356</v>
      </c>
      <c r="E102" s="19" t="s">
        <v>839</v>
      </c>
      <c r="F102" s="56" t="s">
        <v>326</v>
      </c>
      <c r="G102" s="19"/>
      <c r="H102" s="19" t="s">
        <v>840</v>
      </c>
      <c r="I102" s="19" t="s">
        <v>346</v>
      </c>
      <c r="J102" s="70" t="s">
        <v>841</v>
      </c>
      <c r="K102" s="70" t="s">
        <v>842</v>
      </c>
      <c r="L102" s="19" t="s">
        <v>329</v>
      </c>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row>
    <row r="103" spans="1:48" x14ac:dyDescent="0.55000000000000004">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row>
    <row r="104" spans="1:48" ht="57.6" x14ac:dyDescent="0.55000000000000004">
      <c r="A104" s="51" t="s">
        <v>133</v>
      </c>
      <c r="B104" s="51" t="s">
        <v>134</v>
      </c>
      <c r="C104" s="51" t="s">
        <v>306</v>
      </c>
      <c r="D104" s="50"/>
      <c r="E104" s="51" t="s">
        <v>307</v>
      </c>
      <c r="F104" s="51" t="s">
        <v>136</v>
      </c>
      <c r="G104" s="51" t="s">
        <v>308</v>
      </c>
      <c r="H104" s="51" t="s">
        <v>309</v>
      </c>
      <c r="I104" s="51" t="s">
        <v>310</v>
      </c>
      <c r="J104" s="51" t="s">
        <v>311</v>
      </c>
      <c r="K104" s="51" t="s">
        <v>57</v>
      </c>
      <c r="L104" s="51" t="s">
        <v>312</v>
      </c>
      <c r="M104" s="50" t="s">
        <v>329</v>
      </c>
      <c r="N104" s="51" t="s">
        <v>314</v>
      </c>
      <c r="O104" s="51" t="s">
        <v>315</v>
      </c>
      <c r="P104" s="51" t="s">
        <v>316</v>
      </c>
      <c r="Q104" s="51" t="s">
        <v>317</v>
      </c>
      <c r="R104" s="51" t="s">
        <v>318</v>
      </c>
      <c r="S104" s="51" t="s">
        <v>319</v>
      </c>
      <c r="T104" s="51" t="s">
        <v>320</v>
      </c>
      <c r="U104" s="51" t="s">
        <v>60</v>
      </c>
      <c r="V104" s="51" t="s">
        <v>61</v>
      </c>
      <c r="W104" s="51" t="s">
        <v>314</v>
      </c>
      <c r="X104" s="51" t="s">
        <v>319</v>
      </c>
      <c r="Y104" s="51" t="s">
        <v>320</v>
      </c>
      <c r="Z104" s="51" t="s">
        <v>60</v>
      </c>
      <c r="AA104" s="51" t="s">
        <v>61</v>
      </c>
      <c r="AB104" s="51" t="s">
        <v>314</v>
      </c>
      <c r="AC104" s="51" t="s">
        <v>319</v>
      </c>
      <c r="AD104" s="51" t="s">
        <v>320</v>
      </c>
      <c r="AE104" s="51" t="s">
        <v>60</v>
      </c>
      <c r="AF104" s="51" t="s">
        <v>61</v>
      </c>
      <c r="AG104" s="51" t="s">
        <v>314</v>
      </c>
      <c r="AH104" s="51" t="s">
        <v>319</v>
      </c>
      <c r="AI104" s="51" t="s">
        <v>320</v>
      </c>
      <c r="AJ104" s="51" t="s">
        <v>60</v>
      </c>
      <c r="AK104" s="51" t="s">
        <v>61</v>
      </c>
      <c r="AL104" s="51" t="s">
        <v>314</v>
      </c>
      <c r="AM104" s="51" t="s">
        <v>319</v>
      </c>
      <c r="AN104" s="51" t="s">
        <v>320</v>
      </c>
      <c r="AO104" s="51" t="s">
        <v>60</v>
      </c>
      <c r="AP104" s="51" t="s">
        <v>61</v>
      </c>
      <c r="AQ104" s="51" t="s">
        <v>314</v>
      </c>
      <c r="AR104" s="51" t="s">
        <v>319</v>
      </c>
      <c r="AS104" s="51" t="s">
        <v>320</v>
      </c>
      <c r="AT104" s="51" t="s">
        <v>60</v>
      </c>
      <c r="AU104" s="51" t="s">
        <v>61</v>
      </c>
      <c r="AV104" s="51" t="s">
        <v>314</v>
      </c>
    </row>
    <row r="105" spans="1:48" ht="374.4" x14ac:dyDescent="0.55000000000000004">
      <c r="A105" s="48" t="s">
        <v>216</v>
      </c>
      <c r="B105" s="19" t="s">
        <v>342</v>
      </c>
      <c r="C105" s="19" t="s">
        <v>343</v>
      </c>
      <c r="D105" s="19" t="s">
        <v>843</v>
      </c>
      <c r="E105" s="19" t="s">
        <v>844</v>
      </c>
      <c r="F105" s="56" t="s">
        <v>326</v>
      </c>
      <c r="G105" s="19"/>
      <c r="H105" s="19" t="s">
        <v>845</v>
      </c>
      <c r="I105" s="19" t="s">
        <v>346</v>
      </c>
      <c r="J105" s="70" t="s">
        <v>846</v>
      </c>
      <c r="K105" s="70" t="s">
        <v>47</v>
      </c>
      <c r="L105" s="48" t="s">
        <v>346</v>
      </c>
      <c r="M105" s="19" t="s">
        <v>329</v>
      </c>
      <c r="N105" s="19" t="s">
        <v>847</v>
      </c>
      <c r="O105" s="19" t="s">
        <v>517</v>
      </c>
      <c r="P105" s="19" t="s">
        <v>346</v>
      </c>
      <c r="Q105" s="75">
        <v>0</v>
      </c>
      <c r="R105" s="75">
        <v>0</v>
      </c>
      <c r="S105" s="75">
        <v>0</v>
      </c>
      <c r="T105" s="75">
        <v>0</v>
      </c>
      <c r="U105" s="75">
        <v>0</v>
      </c>
      <c r="V105" s="75">
        <v>0</v>
      </c>
      <c r="W105" s="19" t="s">
        <v>848</v>
      </c>
      <c r="X105" s="75">
        <v>0</v>
      </c>
      <c r="Y105" s="75">
        <v>0</v>
      </c>
      <c r="Z105" s="75">
        <v>0</v>
      </c>
      <c r="AA105" s="75">
        <v>0</v>
      </c>
      <c r="AB105" s="19"/>
      <c r="AC105" s="75">
        <v>0</v>
      </c>
      <c r="AD105" s="75">
        <v>0</v>
      </c>
      <c r="AE105" s="75">
        <v>0</v>
      </c>
      <c r="AF105" s="75">
        <v>0</v>
      </c>
      <c r="AG105" s="19" t="s">
        <v>849</v>
      </c>
      <c r="AH105" s="75">
        <v>0</v>
      </c>
      <c r="AI105" s="75">
        <v>0</v>
      </c>
      <c r="AJ105" s="75">
        <v>0</v>
      </c>
      <c r="AK105" s="75">
        <v>0</v>
      </c>
      <c r="AL105" s="19"/>
      <c r="AM105" s="75">
        <v>0</v>
      </c>
      <c r="AN105" s="75">
        <v>0</v>
      </c>
      <c r="AO105" s="75">
        <v>0</v>
      </c>
      <c r="AP105" s="75">
        <v>0</v>
      </c>
      <c r="AQ105" s="19"/>
      <c r="AR105" s="75">
        <v>0</v>
      </c>
      <c r="AS105" s="75">
        <v>0</v>
      </c>
      <c r="AT105" s="75">
        <v>0</v>
      </c>
      <c r="AU105" s="75">
        <v>0</v>
      </c>
      <c r="AV105" s="19"/>
    </row>
    <row r="106" spans="1:48" ht="100.8" x14ac:dyDescent="0.55000000000000004">
      <c r="A106" s="93" t="s">
        <v>850</v>
      </c>
      <c r="B106" s="64" t="s">
        <v>337</v>
      </c>
      <c r="C106" s="93" t="s">
        <v>434</v>
      </c>
      <c r="D106" s="93" t="s">
        <v>851</v>
      </c>
      <c r="E106" s="93" t="s">
        <v>852</v>
      </c>
      <c r="F106" s="94" t="s">
        <v>326</v>
      </c>
      <c r="G106" s="93"/>
      <c r="H106" s="93" t="s">
        <v>853</v>
      </c>
      <c r="I106" s="93" t="s">
        <v>346</v>
      </c>
      <c r="J106" s="96" t="s">
        <v>854</v>
      </c>
      <c r="K106" s="96" t="s">
        <v>855</v>
      </c>
      <c r="L106" s="93" t="s">
        <v>329</v>
      </c>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row>
    <row r="107" spans="1:48" ht="115.2" x14ac:dyDescent="0.55000000000000004">
      <c r="A107" s="48" t="s">
        <v>856</v>
      </c>
      <c r="B107" s="19" t="s">
        <v>342</v>
      </c>
      <c r="C107" s="19" t="s">
        <v>592</v>
      </c>
      <c r="D107" s="19" t="s">
        <v>857</v>
      </c>
      <c r="E107" s="19" t="s">
        <v>858</v>
      </c>
      <c r="F107" s="56" t="s">
        <v>326</v>
      </c>
      <c r="G107" s="19"/>
      <c r="H107" s="19" t="s">
        <v>859</v>
      </c>
      <c r="I107" s="19" t="s">
        <v>346</v>
      </c>
      <c r="J107" s="70" t="s">
        <v>860</v>
      </c>
      <c r="K107" s="70" t="s">
        <v>861</v>
      </c>
      <c r="L107" s="19" t="s">
        <v>329</v>
      </c>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row>
    <row r="108" spans="1:48" ht="144" x14ac:dyDescent="0.55000000000000004">
      <c r="A108" s="48" t="s">
        <v>862</v>
      </c>
      <c r="B108" s="47" t="s">
        <v>342</v>
      </c>
      <c r="C108" s="85" t="s">
        <v>419</v>
      </c>
      <c r="D108" s="81" t="s">
        <v>863</v>
      </c>
      <c r="E108" s="47" t="s">
        <v>864</v>
      </c>
      <c r="F108" s="65" t="s">
        <v>326</v>
      </c>
      <c r="G108" s="47"/>
      <c r="H108" s="47" t="s">
        <v>865</v>
      </c>
      <c r="I108" s="47" t="s">
        <v>346</v>
      </c>
      <c r="J108" s="67" t="s">
        <v>866</v>
      </c>
      <c r="K108" s="67" t="s">
        <v>867</v>
      </c>
      <c r="L108" s="47" t="s">
        <v>329</v>
      </c>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row>
    <row r="109" spans="1:48" ht="158.4" x14ac:dyDescent="0.55000000000000004">
      <c r="A109" s="48" t="s">
        <v>868</v>
      </c>
      <c r="B109" s="19" t="s">
        <v>354</v>
      </c>
      <c r="C109" s="19" t="s">
        <v>372</v>
      </c>
      <c r="D109" s="86" t="s">
        <v>869</v>
      </c>
      <c r="E109" s="19" t="s">
        <v>870</v>
      </c>
      <c r="F109" s="56" t="s">
        <v>326</v>
      </c>
      <c r="G109" s="19"/>
      <c r="H109" s="19" t="s">
        <v>871</v>
      </c>
      <c r="I109" s="19" t="s">
        <v>346</v>
      </c>
      <c r="J109" s="70" t="s">
        <v>872</v>
      </c>
      <c r="K109" s="70" t="s">
        <v>873</v>
      </c>
      <c r="L109" s="19" t="s">
        <v>329</v>
      </c>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row>
    <row r="110" spans="1:48" ht="230.4" x14ac:dyDescent="0.55000000000000004">
      <c r="A110" s="48" t="s">
        <v>874</v>
      </c>
      <c r="B110" s="64" t="s">
        <v>337</v>
      </c>
      <c r="C110" s="47" t="s">
        <v>434</v>
      </c>
      <c r="D110" s="47" t="s">
        <v>875</v>
      </c>
      <c r="E110" s="47" t="s">
        <v>876</v>
      </c>
      <c r="F110" s="65" t="s">
        <v>326</v>
      </c>
      <c r="G110" s="47"/>
      <c r="H110" s="47" t="s">
        <v>501</v>
      </c>
      <c r="I110" s="47" t="s">
        <v>346</v>
      </c>
      <c r="J110" s="67" t="s">
        <v>877</v>
      </c>
      <c r="K110" s="67" t="s">
        <v>878</v>
      </c>
      <c r="L110" s="47" t="s">
        <v>329</v>
      </c>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row>
    <row r="111" spans="1:48" ht="14.4" customHeight="1" x14ac:dyDescent="0.55000000000000004">
      <c r="A111" s="87"/>
      <c r="B111" s="87"/>
      <c r="C111" s="87"/>
      <c r="D111" s="87"/>
      <c r="E111" s="87"/>
      <c r="F111" s="87"/>
      <c r="G111" s="87"/>
      <c r="H111" s="87"/>
      <c r="I111" s="87"/>
      <c r="J111" s="87"/>
      <c r="K111" s="87"/>
      <c r="L111" s="87"/>
      <c r="M111" s="87"/>
      <c r="N111" s="87"/>
      <c r="O111" s="87"/>
      <c r="P111" s="87"/>
      <c r="Q111" s="87"/>
      <c r="R111" s="87"/>
      <c r="S111" s="137" t="s">
        <v>227</v>
      </c>
      <c r="T111" s="137"/>
      <c r="U111" s="137"/>
      <c r="V111" s="137"/>
      <c r="W111" s="137"/>
      <c r="X111" s="137" t="s">
        <v>217</v>
      </c>
      <c r="Y111" s="137"/>
      <c r="Z111" s="137"/>
      <c r="AA111" s="137"/>
      <c r="AB111" s="137"/>
      <c r="AC111" s="137" t="s">
        <v>228</v>
      </c>
      <c r="AD111" s="137"/>
      <c r="AE111" s="137"/>
      <c r="AF111" s="137"/>
      <c r="AG111" s="137"/>
      <c r="AH111" s="137" t="s">
        <v>227</v>
      </c>
      <c r="AI111" s="137"/>
      <c r="AJ111" s="137"/>
      <c r="AK111" s="137"/>
      <c r="AL111" s="137"/>
      <c r="AM111" s="137" t="s">
        <v>217</v>
      </c>
      <c r="AN111" s="137"/>
      <c r="AO111" s="137"/>
      <c r="AP111" s="137"/>
      <c r="AQ111" s="137"/>
      <c r="AR111" s="137" t="s">
        <v>228</v>
      </c>
      <c r="AS111" s="137"/>
      <c r="AT111" s="137"/>
      <c r="AU111" s="137"/>
      <c r="AV111" s="137"/>
    </row>
    <row r="112" spans="1:48" ht="57.6" x14ac:dyDescent="0.55000000000000004">
      <c r="A112" s="51" t="s">
        <v>133</v>
      </c>
      <c r="B112" s="51" t="s">
        <v>134</v>
      </c>
      <c r="C112" s="51" t="s">
        <v>306</v>
      </c>
      <c r="D112" s="50"/>
      <c r="E112" s="51" t="s">
        <v>307</v>
      </c>
      <c r="F112" s="51" t="s">
        <v>136</v>
      </c>
      <c r="G112" s="51" t="s">
        <v>308</v>
      </c>
      <c r="H112" s="51" t="s">
        <v>309</v>
      </c>
      <c r="I112" s="51" t="s">
        <v>310</v>
      </c>
      <c r="J112" s="51" t="s">
        <v>311</v>
      </c>
      <c r="K112" s="51" t="s">
        <v>57</v>
      </c>
      <c r="L112" s="51" t="s">
        <v>312</v>
      </c>
      <c r="M112" s="50" t="s">
        <v>329</v>
      </c>
      <c r="N112" s="51" t="s">
        <v>314</v>
      </c>
      <c r="O112" s="51" t="s">
        <v>315</v>
      </c>
      <c r="P112" s="51" t="s">
        <v>316</v>
      </c>
      <c r="Q112" s="51" t="s">
        <v>317</v>
      </c>
      <c r="R112" s="51" t="s">
        <v>318</v>
      </c>
      <c r="S112" s="51" t="s">
        <v>319</v>
      </c>
      <c r="T112" s="51" t="s">
        <v>320</v>
      </c>
      <c r="U112" s="51" t="s">
        <v>60</v>
      </c>
      <c r="V112" s="51" t="s">
        <v>61</v>
      </c>
      <c r="W112" s="51" t="s">
        <v>314</v>
      </c>
      <c r="X112" s="51" t="s">
        <v>319</v>
      </c>
      <c r="Y112" s="51" t="s">
        <v>320</v>
      </c>
      <c r="Z112" s="51" t="s">
        <v>60</v>
      </c>
      <c r="AA112" s="51" t="s">
        <v>61</v>
      </c>
      <c r="AB112" s="51" t="s">
        <v>314</v>
      </c>
      <c r="AC112" s="51" t="s">
        <v>319</v>
      </c>
      <c r="AD112" s="51" t="s">
        <v>320</v>
      </c>
      <c r="AE112" s="51" t="s">
        <v>60</v>
      </c>
      <c r="AF112" s="51" t="s">
        <v>61</v>
      </c>
      <c r="AG112" s="51" t="s">
        <v>314</v>
      </c>
      <c r="AH112" s="51" t="s">
        <v>319</v>
      </c>
      <c r="AI112" s="51" t="s">
        <v>320</v>
      </c>
      <c r="AJ112" s="51" t="s">
        <v>60</v>
      </c>
      <c r="AK112" s="51" t="s">
        <v>61</v>
      </c>
      <c r="AL112" s="51" t="s">
        <v>314</v>
      </c>
      <c r="AM112" s="51" t="s">
        <v>319</v>
      </c>
      <c r="AN112" s="51" t="s">
        <v>320</v>
      </c>
      <c r="AO112" s="51" t="s">
        <v>60</v>
      </c>
      <c r="AP112" s="51" t="s">
        <v>61</v>
      </c>
      <c r="AQ112" s="51" t="s">
        <v>314</v>
      </c>
      <c r="AR112" s="51" t="s">
        <v>319</v>
      </c>
      <c r="AS112" s="51" t="s">
        <v>320</v>
      </c>
      <c r="AT112" s="51" t="s">
        <v>60</v>
      </c>
      <c r="AU112" s="51" t="s">
        <v>61</v>
      </c>
      <c r="AV112" s="51" t="s">
        <v>314</v>
      </c>
    </row>
    <row r="113" spans="1:48" ht="158.4" x14ac:dyDescent="0.55000000000000004">
      <c r="A113" s="48" t="s">
        <v>200</v>
      </c>
      <c r="B113" s="54" t="s">
        <v>337</v>
      </c>
      <c r="C113" s="19" t="s">
        <v>364</v>
      </c>
      <c r="D113" s="86" t="s">
        <v>879</v>
      </c>
      <c r="E113" s="19" t="s">
        <v>880</v>
      </c>
      <c r="F113" s="56" t="s">
        <v>326</v>
      </c>
      <c r="G113" s="19"/>
      <c r="H113" s="19" t="s">
        <v>881</v>
      </c>
      <c r="I113" s="19" t="s">
        <v>346</v>
      </c>
      <c r="J113" s="70" t="s">
        <v>882</v>
      </c>
      <c r="K113" s="70" t="s">
        <v>38</v>
      </c>
      <c r="L113" s="48" t="s">
        <v>346</v>
      </c>
      <c r="M113" s="19" t="s">
        <v>329</v>
      </c>
      <c r="N113" s="19"/>
      <c r="O113" s="19" t="s">
        <v>349</v>
      </c>
      <c r="P113" s="19" t="s">
        <v>346</v>
      </c>
      <c r="Q113" s="19" t="s">
        <v>883</v>
      </c>
      <c r="R113" s="19" t="s">
        <v>884</v>
      </c>
      <c r="S113" s="75">
        <v>0</v>
      </c>
      <c r="T113" s="75">
        <v>0</v>
      </c>
      <c r="U113" s="75">
        <v>0</v>
      </c>
      <c r="V113" s="75">
        <v>0</v>
      </c>
      <c r="W113" s="19" t="s">
        <v>885</v>
      </c>
      <c r="X113" s="75">
        <v>0</v>
      </c>
      <c r="Y113" s="75">
        <v>0</v>
      </c>
      <c r="Z113" s="75">
        <v>0</v>
      </c>
      <c r="AA113" s="75">
        <v>0</v>
      </c>
      <c r="AB113" s="19" t="s">
        <v>886</v>
      </c>
      <c r="AC113" s="75">
        <v>0</v>
      </c>
      <c r="AD113" s="75">
        <v>0</v>
      </c>
      <c r="AE113" s="75">
        <v>0</v>
      </c>
      <c r="AF113" s="75">
        <v>0</v>
      </c>
      <c r="AG113" s="19" t="s">
        <v>887</v>
      </c>
      <c r="AH113" s="75">
        <v>0</v>
      </c>
      <c r="AI113" s="75">
        <v>0</v>
      </c>
      <c r="AJ113" s="75">
        <v>0</v>
      </c>
      <c r="AK113" s="75">
        <v>0</v>
      </c>
      <c r="AL113" s="19"/>
      <c r="AM113" s="75">
        <v>0</v>
      </c>
      <c r="AN113" s="75">
        <v>0</v>
      </c>
      <c r="AO113" s="75">
        <v>0</v>
      </c>
      <c r="AP113" s="75">
        <v>0</v>
      </c>
      <c r="AQ113" s="19"/>
      <c r="AR113" s="75">
        <v>0</v>
      </c>
      <c r="AS113" s="75">
        <v>0</v>
      </c>
      <c r="AT113" s="75">
        <v>3</v>
      </c>
      <c r="AU113" s="75">
        <v>2</v>
      </c>
      <c r="AV113" s="19"/>
    </row>
    <row r="114" spans="1:48" ht="14.4" customHeight="1" x14ac:dyDescent="0.55000000000000004">
      <c r="A114" s="87"/>
      <c r="B114" s="87"/>
      <c r="C114" s="87"/>
      <c r="D114" s="87"/>
      <c r="E114" s="87"/>
      <c r="F114" s="87"/>
      <c r="G114" s="87"/>
      <c r="H114" s="87"/>
      <c r="I114" s="87"/>
      <c r="J114" s="87"/>
      <c r="K114" s="87"/>
      <c r="L114" s="87"/>
      <c r="M114" s="87"/>
      <c r="N114" s="87"/>
      <c r="O114" s="87"/>
      <c r="P114" s="87"/>
      <c r="Q114" s="87"/>
      <c r="R114" s="87"/>
      <c r="S114" s="138" t="s">
        <v>227</v>
      </c>
      <c r="T114" s="138"/>
      <c r="U114" s="138"/>
      <c r="V114" s="138"/>
      <c r="W114" s="138"/>
      <c r="X114" s="138" t="s">
        <v>217</v>
      </c>
      <c r="Y114" s="138"/>
      <c r="Z114" s="138"/>
      <c r="AA114" s="138"/>
      <c r="AB114" s="138"/>
      <c r="AC114" s="138" t="s">
        <v>590</v>
      </c>
      <c r="AD114" s="138"/>
      <c r="AE114" s="138"/>
      <c r="AF114" s="138"/>
      <c r="AG114" s="138"/>
      <c r="AH114" s="138" t="s">
        <v>227</v>
      </c>
      <c r="AI114" s="138"/>
      <c r="AJ114" s="138"/>
      <c r="AK114" s="138"/>
      <c r="AL114" s="138"/>
      <c r="AM114" s="138" t="s">
        <v>217</v>
      </c>
      <c r="AN114" s="138"/>
      <c r="AO114" s="138"/>
      <c r="AP114" s="138"/>
      <c r="AQ114" s="138"/>
      <c r="AR114" s="138" t="s">
        <v>590</v>
      </c>
      <c r="AS114" s="138"/>
      <c r="AT114" s="138"/>
      <c r="AU114" s="138"/>
      <c r="AV114" s="138"/>
    </row>
    <row r="115" spans="1:48" ht="57.6" x14ac:dyDescent="0.55000000000000004">
      <c r="A115" s="51" t="s">
        <v>133</v>
      </c>
      <c r="B115" s="51" t="s">
        <v>134</v>
      </c>
      <c r="C115" s="51" t="s">
        <v>306</v>
      </c>
      <c r="D115" s="50"/>
      <c r="E115" s="51" t="s">
        <v>307</v>
      </c>
      <c r="F115" s="51" t="s">
        <v>136</v>
      </c>
      <c r="G115" s="51" t="s">
        <v>308</v>
      </c>
      <c r="H115" s="51" t="s">
        <v>309</v>
      </c>
      <c r="I115" s="51" t="s">
        <v>310</v>
      </c>
      <c r="J115" s="51" t="s">
        <v>311</v>
      </c>
      <c r="K115" s="51" t="s">
        <v>57</v>
      </c>
      <c r="L115" s="51" t="s">
        <v>312</v>
      </c>
      <c r="M115" s="50" t="s">
        <v>346</v>
      </c>
      <c r="N115" s="51" t="s">
        <v>314</v>
      </c>
      <c r="O115" s="51" t="s">
        <v>315</v>
      </c>
      <c r="P115" s="51" t="s">
        <v>316</v>
      </c>
      <c r="Q115" s="51" t="s">
        <v>317</v>
      </c>
      <c r="R115" s="51" t="s">
        <v>318</v>
      </c>
      <c r="S115" s="51" t="s">
        <v>319</v>
      </c>
      <c r="T115" s="51" t="s">
        <v>320</v>
      </c>
      <c r="U115" s="51" t="s">
        <v>60</v>
      </c>
      <c r="V115" s="51" t="s">
        <v>61</v>
      </c>
      <c r="W115" s="51" t="s">
        <v>314</v>
      </c>
      <c r="X115" s="51" t="s">
        <v>319</v>
      </c>
      <c r="Y115" s="51" t="s">
        <v>320</v>
      </c>
      <c r="Z115" s="51" t="s">
        <v>60</v>
      </c>
      <c r="AA115" s="51" t="s">
        <v>61</v>
      </c>
      <c r="AB115" s="51" t="s">
        <v>314</v>
      </c>
      <c r="AC115" s="51" t="s">
        <v>319</v>
      </c>
      <c r="AD115" s="51" t="s">
        <v>320</v>
      </c>
      <c r="AE115" s="51" t="s">
        <v>60</v>
      </c>
      <c r="AF115" s="51" t="s">
        <v>61</v>
      </c>
      <c r="AG115" s="51" t="s">
        <v>314</v>
      </c>
      <c r="AH115" s="51" t="s">
        <v>319</v>
      </c>
      <c r="AI115" s="51" t="s">
        <v>320</v>
      </c>
      <c r="AJ115" s="51" t="s">
        <v>60</v>
      </c>
      <c r="AK115" s="51" t="s">
        <v>61</v>
      </c>
      <c r="AL115" s="51" t="s">
        <v>314</v>
      </c>
      <c r="AM115" s="51" t="s">
        <v>319</v>
      </c>
      <c r="AN115" s="51" t="s">
        <v>320</v>
      </c>
      <c r="AO115" s="51" t="s">
        <v>60</v>
      </c>
      <c r="AP115" s="51" t="s">
        <v>61</v>
      </c>
      <c r="AQ115" s="51" t="s">
        <v>314</v>
      </c>
      <c r="AR115" s="51" t="s">
        <v>319</v>
      </c>
      <c r="AS115" s="51" t="s">
        <v>320</v>
      </c>
      <c r="AT115" s="51" t="s">
        <v>60</v>
      </c>
      <c r="AU115" s="51" t="s">
        <v>61</v>
      </c>
      <c r="AV115" s="51" t="s">
        <v>314</v>
      </c>
    </row>
    <row r="116" spans="1:48" ht="172.8" x14ac:dyDescent="0.55000000000000004">
      <c r="A116" s="48" t="s">
        <v>208</v>
      </c>
      <c r="B116" s="19" t="s">
        <v>322</v>
      </c>
      <c r="C116" s="55" t="s">
        <v>323</v>
      </c>
      <c r="D116" s="19" t="s">
        <v>888</v>
      </c>
      <c r="E116" s="19" t="s">
        <v>889</v>
      </c>
      <c r="F116" s="56" t="s">
        <v>326</v>
      </c>
      <c r="G116" s="19"/>
      <c r="H116" s="19" t="s">
        <v>890</v>
      </c>
      <c r="I116" s="19" t="s">
        <v>346</v>
      </c>
      <c r="J116" s="70" t="s">
        <v>891</v>
      </c>
      <c r="K116" s="70" t="s">
        <v>42</v>
      </c>
      <c r="L116" s="48" t="s">
        <v>346</v>
      </c>
      <c r="M116" s="19" t="s">
        <v>329</v>
      </c>
      <c r="N116" s="19"/>
      <c r="O116" s="19"/>
      <c r="P116" s="19" t="s">
        <v>346</v>
      </c>
      <c r="Q116" s="75">
        <v>0</v>
      </c>
      <c r="R116" s="75">
        <v>0</v>
      </c>
      <c r="S116" s="75" t="s">
        <v>703</v>
      </c>
      <c r="T116" s="75" t="s">
        <v>703</v>
      </c>
      <c r="U116" s="75">
        <v>1</v>
      </c>
      <c r="V116" s="75">
        <v>1</v>
      </c>
      <c r="W116" s="19"/>
      <c r="X116" s="75">
        <v>0</v>
      </c>
      <c r="Y116" s="75">
        <v>0</v>
      </c>
      <c r="Z116" s="75">
        <v>0</v>
      </c>
      <c r="AA116" s="75">
        <v>0</v>
      </c>
      <c r="AB116" s="19"/>
      <c r="AC116" s="75">
        <v>0</v>
      </c>
      <c r="AD116" s="75">
        <v>0</v>
      </c>
      <c r="AE116" s="75">
        <v>0</v>
      </c>
      <c r="AF116" s="75">
        <v>0</v>
      </c>
      <c r="AG116" s="19"/>
      <c r="AH116" s="75" t="s">
        <v>703</v>
      </c>
      <c r="AI116" s="75" t="s">
        <v>703</v>
      </c>
      <c r="AJ116" s="75">
        <v>1</v>
      </c>
      <c r="AK116" s="75">
        <v>0</v>
      </c>
      <c r="AL116" s="19"/>
      <c r="AM116" s="75">
        <v>0</v>
      </c>
      <c r="AN116" s="75">
        <v>0</v>
      </c>
      <c r="AO116" s="75">
        <v>0</v>
      </c>
      <c r="AP116" s="75">
        <v>0</v>
      </c>
      <c r="AQ116" s="19"/>
      <c r="AR116" s="75">
        <v>1</v>
      </c>
      <c r="AS116" s="75">
        <v>1</v>
      </c>
      <c r="AT116" s="75">
        <v>3</v>
      </c>
      <c r="AU116" s="75">
        <v>3</v>
      </c>
      <c r="AV116" s="19"/>
    </row>
    <row r="117" spans="1:48" ht="124.8" x14ac:dyDescent="0.55000000000000004">
      <c r="A117" s="48" t="s">
        <v>892</v>
      </c>
      <c r="B117" s="64" t="s">
        <v>337</v>
      </c>
      <c r="C117" s="47" t="s">
        <v>364</v>
      </c>
      <c r="D117" s="81" t="s">
        <v>893</v>
      </c>
      <c r="E117" s="47" t="s">
        <v>894</v>
      </c>
      <c r="F117" s="65" t="s">
        <v>326</v>
      </c>
      <c r="G117" s="47"/>
      <c r="H117" s="47" t="s">
        <v>895</v>
      </c>
      <c r="I117" s="47" t="s">
        <v>346</v>
      </c>
      <c r="J117" s="67" t="s">
        <v>896</v>
      </c>
      <c r="K117" s="67" t="s">
        <v>897</v>
      </c>
      <c r="L117" s="47" t="s">
        <v>329</v>
      </c>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row>
    <row r="118" spans="1:48" ht="187.2" x14ac:dyDescent="0.55000000000000004">
      <c r="A118" s="48" t="s">
        <v>209</v>
      </c>
      <c r="B118" s="19" t="s">
        <v>322</v>
      </c>
      <c r="C118" s="55" t="s">
        <v>323</v>
      </c>
      <c r="D118" s="19" t="s">
        <v>898</v>
      </c>
      <c r="E118" s="19" t="s">
        <v>899</v>
      </c>
      <c r="F118" s="56" t="s">
        <v>326</v>
      </c>
      <c r="G118" s="19"/>
      <c r="H118" s="19" t="s">
        <v>900</v>
      </c>
      <c r="I118" s="19" t="s">
        <v>346</v>
      </c>
      <c r="J118" s="70" t="s">
        <v>901</v>
      </c>
      <c r="K118" s="70" t="s">
        <v>43</v>
      </c>
      <c r="L118" s="48" t="s">
        <v>346</v>
      </c>
      <c r="M118" s="19" t="s">
        <v>346</v>
      </c>
      <c r="N118" s="19"/>
      <c r="O118" s="19" t="s">
        <v>349</v>
      </c>
      <c r="P118" s="19" t="s">
        <v>346</v>
      </c>
      <c r="Q118" s="75">
        <v>0</v>
      </c>
      <c r="R118" s="75">
        <v>0</v>
      </c>
      <c r="S118" s="75" t="s">
        <v>703</v>
      </c>
      <c r="T118" s="75" t="s">
        <v>703</v>
      </c>
      <c r="U118" s="75">
        <v>1</v>
      </c>
      <c r="V118" s="75">
        <v>0</v>
      </c>
      <c r="W118" s="19" t="s">
        <v>902</v>
      </c>
      <c r="X118" s="75" t="s">
        <v>703</v>
      </c>
      <c r="Y118" s="75" t="s">
        <v>703</v>
      </c>
      <c r="Z118" s="75">
        <v>1</v>
      </c>
      <c r="AA118" s="75">
        <v>1</v>
      </c>
      <c r="AB118" s="19"/>
      <c r="AC118" s="75">
        <v>0</v>
      </c>
      <c r="AD118" s="75">
        <v>0</v>
      </c>
      <c r="AE118" s="75">
        <v>0</v>
      </c>
      <c r="AF118" s="75">
        <v>0</v>
      </c>
      <c r="AG118" s="19" t="s">
        <v>903</v>
      </c>
      <c r="AH118" s="75">
        <v>0</v>
      </c>
      <c r="AI118" s="75">
        <v>0</v>
      </c>
      <c r="AJ118" s="75">
        <v>0</v>
      </c>
      <c r="AK118" s="75">
        <v>0</v>
      </c>
      <c r="AL118" s="19"/>
      <c r="AM118" s="75">
        <v>1</v>
      </c>
      <c r="AN118" s="75">
        <v>1</v>
      </c>
      <c r="AO118" s="75">
        <v>3</v>
      </c>
      <c r="AP118" s="75">
        <v>3</v>
      </c>
      <c r="AQ118" s="19"/>
      <c r="AR118" s="75">
        <v>0</v>
      </c>
      <c r="AS118" s="75">
        <v>0</v>
      </c>
      <c r="AT118" s="75">
        <v>0</v>
      </c>
      <c r="AU118" s="75">
        <v>0</v>
      </c>
      <c r="AV118" s="19"/>
    </row>
    <row r="119" spans="1:48" ht="244.8" x14ac:dyDescent="0.55000000000000004">
      <c r="A119" s="48" t="s">
        <v>210</v>
      </c>
      <c r="B119" s="64" t="s">
        <v>337</v>
      </c>
      <c r="C119" s="47" t="s">
        <v>511</v>
      </c>
      <c r="D119" s="47" t="s">
        <v>904</v>
      </c>
      <c r="E119" s="47" t="s">
        <v>905</v>
      </c>
      <c r="F119" s="65" t="s">
        <v>326</v>
      </c>
      <c r="G119" s="47"/>
      <c r="H119" s="47" t="s">
        <v>906</v>
      </c>
      <c r="I119" s="47" t="s">
        <v>346</v>
      </c>
      <c r="J119" s="67" t="s">
        <v>901</v>
      </c>
      <c r="K119" s="67" t="s">
        <v>44</v>
      </c>
      <c r="L119" s="48" t="s">
        <v>346</v>
      </c>
      <c r="M119" s="47" t="s">
        <v>346</v>
      </c>
      <c r="N119" s="47" t="s">
        <v>333</v>
      </c>
      <c r="O119" s="47"/>
      <c r="P119" s="47" t="s">
        <v>346</v>
      </c>
      <c r="Q119" s="68">
        <v>0</v>
      </c>
      <c r="R119" s="68">
        <v>0</v>
      </c>
      <c r="S119" s="68">
        <v>0</v>
      </c>
      <c r="T119" s="68">
        <v>0</v>
      </c>
      <c r="U119" s="68">
        <v>0</v>
      </c>
      <c r="V119" s="68">
        <v>0</v>
      </c>
      <c r="W119" s="47" t="s">
        <v>907</v>
      </c>
      <c r="X119" s="68">
        <v>0</v>
      </c>
      <c r="Y119" s="68">
        <v>0</v>
      </c>
      <c r="Z119" s="68">
        <v>0</v>
      </c>
      <c r="AA119" s="68">
        <v>0</v>
      </c>
      <c r="AB119" s="47" t="s">
        <v>907</v>
      </c>
      <c r="AC119" s="68">
        <v>0</v>
      </c>
      <c r="AD119" s="68">
        <v>0</v>
      </c>
      <c r="AE119" s="68">
        <v>0</v>
      </c>
      <c r="AF119" s="68">
        <v>0</v>
      </c>
      <c r="AG119" s="47" t="s">
        <v>908</v>
      </c>
      <c r="AH119" s="68">
        <v>0</v>
      </c>
      <c r="AI119" s="68">
        <v>0</v>
      </c>
      <c r="AJ119" s="68">
        <v>0</v>
      </c>
      <c r="AK119" s="68">
        <v>0</v>
      </c>
      <c r="AL119" s="47"/>
      <c r="AM119" s="68">
        <v>0</v>
      </c>
      <c r="AN119" s="68">
        <v>0</v>
      </c>
      <c r="AO119" s="68">
        <v>0</v>
      </c>
      <c r="AP119" s="68">
        <v>0</v>
      </c>
      <c r="AQ119" s="47"/>
      <c r="AR119" s="68">
        <v>0</v>
      </c>
      <c r="AS119" s="68">
        <v>0</v>
      </c>
      <c r="AT119" s="68">
        <v>0</v>
      </c>
      <c r="AU119" s="68">
        <v>0</v>
      </c>
      <c r="AV119" s="47"/>
    </row>
    <row r="120" spans="1:48" ht="158.4" x14ac:dyDescent="0.55000000000000004">
      <c r="A120" s="48" t="s">
        <v>909</v>
      </c>
      <c r="B120" s="19" t="s">
        <v>322</v>
      </c>
      <c r="C120" s="55" t="s">
        <v>323</v>
      </c>
      <c r="D120" s="19" t="s">
        <v>910</v>
      </c>
      <c r="E120" s="19" t="s">
        <v>911</v>
      </c>
      <c r="F120" s="56" t="s">
        <v>326</v>
      </c>
      <c r="G120" s="19"/>
      <c r="H120" s="19" t="s">
        <v>912</v>
      </c>
      <c r="I120" s="19" t="s">
        <v>346</v>
      </c>
      <c r="J120" s="70" t="s">
        <v>913</v>
      </c>
      <c r="K120" s="70" t="s">
        <v>914</v>
      </c>
      <c r="L120" s="19" t="s">
        <v>329</v>
      </c>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row>
    <row r="121" spans="1:48" ht="72" x14ac:dyDescent="0.55000000000000004">
      <c r="A121" s="93" t="s">
        <v>915</v>
      </c>
      <c r="B121" s="47" t="s">
        <v>453</v>
      </c>
      <c r="C121" s="93" t="s">
        <v>735</v>
      </c>
      <c r="D121" s="93"/>
      <c r="E121" s="93" t="s">
        <v>916</v>
      </c>
      <c r="F121" s="94" t="s">
        <v>326</v>
      </c>
      <c r="G121" s="93"/>
      <c r="H121" s="93" t="s">
        <v>917</v>
      </c>
      <c r="I121" s="93" t="s">
        <v>346</v>
      </c>
      <c r="J121" s="96" t="s">
        <v>918</v>
      </c>
      <c r="K121" s="96" t="s">
        <v>919</v>
      </c>
      <c r="L121" s="93" t="s">
        <v>329</v>
      </c>
      <c r="M121" s="93"/>
      <c r="N121" s="93"/>
      <c r="O121" s="93"/>
      <c r="P121" s="93"/>
      <c r="Q121" s="93"/>
      <c r="R121" s="93"/>
      <c r="S121" s="93"/>
      <c r="T121" s="93"/>
      <c r="U121" s="93"/>
      <c r="V121" s="93"/>
      <c r="W121" s="93"/>
      <c r="X121" s="93"/>
      <c r="Y121" s="93"/>
      <c r="Z121" s="93"/>
      <c r="AA121" s="93"/>
      <c r="AB121" s="93"/>
      <c r="AC121" s="93"/>
      <c r="AD121" s="93"/>
      <c r="AE121" s="93"/>
      <c r="AF121" s="93"/>
      <c r="AG121" s="93"/>
      <c r="AH121" s="93"/>
      <c r="AI121" s="93"/>
      <c r="AJ121" s="93"/>
      <c r="AK121" s="93"/>
      <c r="AL121" s="93"/>
      <c r="AM121" s="93"/>
      <c r="AN121" s="93"/>
      <c r="AO121" s="93"/>
      <c r="AP121" s="93"/>
      <c r="AQ121" s="93"/>
      <c r="AR121" s="93"/>
      <c r="AS121" s="93"/>
      <c r="AT121" s="93"/>
      <c r="AU121" s="93"/>
      <c r="AV121" s="93"/>
    </row>
    <row r="122" spans="1:48" ht="144" x14ac:dyDescent="0.55000000000000004">
      <c r="A122" s="48" t="s">
        <v>920</v>
      </c>
      <c r="B122" s="19" t="s">
        <v>453</v>
      </c>
      <c r="C122" s="19" t="s">
        <v>454</v>
      </c>
      <c r="D122" s="19" t="s">
        <v>921</v>
      </c>
      <c r="E122" s="19" t="s">
        <v>922</v>
      </c>
      <c r="F122" s="56" t="s">
        <v>326</v>
      </c>
      <c r="G122" s="19"/>
      <c r="H122" s="19" t="s">
        <v>923</v>
      </c>
      <c r="I122" s="19" t="s">
        <v>346</v>
      </c>
      <c r="J122" s="19"/>
      <c r="K122" s="70" t="s">
        <v>924</v>
      </c>
      <c r="L122" s="19" t="s">
        <v>329</v>
      </c>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row>
    <row r="123" spans="1:48" ht="14.4" customHeight="1" x14ac:dyDescent="0.55000000000000004">
      <c r="A123" s="87"/>
      <c r="B123" s="87"/>
      <c r="C123" s="87"/>
      <c r="D123" s="87"/>
      <c r="E123" s="87"/>
      <c r="F123" s="87"/>
      <c r="G123" s="87"/>
      <c r="H123" s="87"/>
      <c r="I123" s="87"/>
      <c r="J123" s="87"/>
      <c r="K123" s="87"/>
      <c r="L123" s="87"/>
      <c r="M123" s="87"/>
      <c r="N123" s="87"/>
      <c r="O123" s="87"/>
      <c r="P123" s="137" t="s">
        <v>227</v>
      </c>
      <c r="Q123" s="137"/>
      <c r="R123" s="137"/>
      <c r="S123" s="137"/>
      <c r="T123" s="137"/>
      <c r="U123" s="87"/>
      <c r="V123" s="137" t="s">
        <v>925</v>
      </c>
      <c r="W123" s="137"/>
      <c r="X123" s="137"/>
      <c r="Y123" s="13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row>
    <row r="124" spans="1:48" ht="43.2" x14ac:dyDescent="0.55000000000000004">
      <c r="A124" s="98" t="s">
        <v>133</v>
      </c>
      <c r="B124" s="98" t="s">
        <v>134</v>
      </c>
      <c r="C124" s="98" t="s">
        <v>306</v>
      </c>
      <c r="D124" s="19"/>
      <c r="E124" s="98" t="s">
        <v>307</v>
      </c>
      <c r="F124" s="98" t="s">
        <v>136</v>
      </c>
      <c r="G124" s="98" t="s">
        <v>308</v>
      </c>
      <c r="H124" s="98" t="s">
        <v>309</v>
      </c>
      <c r="I124" s="98" t="s">
        <v>310</v>
      </c>
      <c r="J124" s="98" t="s">
        <v>311</v>
      </c>
      <c r="K124" s="98" t="s">
        <v>57</v>
      </c>
      <c r="L124" s="98" t="s">
        <v>312</v>
      </c>
      <c r="M124" s="19" t="s">
        <v>329</v>
      </c>
      <c r="N124" s="98" t="s">
        <v>314</v>
      </c>
      <c r="O124" s="98" t="s">
        <v>315</v>
      </c>
      <c r="P124" s="98" t="s">
        <v>926</v>
      </c>
      <c r="Q124" s="98" t="s">
        <v>319</v>
      </c>
      <c r="R124" s="98" t="s">
        <v>320</v>
      </c>
      <c r="S124" s="98" t="s">
        <v>927</v>
      </c>
      <c r="T124" s="98" t="s">
        <v>928</v>
      </c>
      <c r="U124" s="98" t="s">
        <v>929</v>
      </c>
      <c r="V124" s="98" t="s">
        <v>319</v>
      </c>
      <c r="W124" s="98" t="s">
        <v>320</v>
      </c>
      <c r="X124" s="98" t="s">
        <v>927</v>
      </c>
      <c r="Y124" s="98" t="s">
        <v>928</v>
      </c>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row>
    <row r="125" spans="1:48" ht="144" x14ac:dyDescent="0.55000000000000004">
      <c r="A125" s="48" t="s">
        <v>930</v>
      </c>
      <c r="B125" s="47" t="s">
        <v>377</v>
      </c>
      <c r="C125" s="47" t="s">
        <v>378</v>
      </c>
      <c r="D125" s="47"/>
      <c r="E125" s="47" t="s">
        <v>931</v>
      </c>
      <c r="F125" s="65" t="s">
        <v>326</v>
      </c>
      <c r="G125" s="47"/>
      <c r="H125" s="47" t="s">
        <v>932</v>
      </c>
      <c r="I125" s="47" t="s">
        <v>346</v>
      </c>
      <c r="J125" s="47" t="s">
        <v>933</v>
      </c>
      <c r="K125" s="67" t="s">
        <v>934</v>
      </c>
      <c r="L125" s="99" t="s">
        <v>329</v>
      </c>
      <c r="M125" s="47"/>
      <c r="N125" s="47" t="s">
        <v>935</v>
      </c>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row>
    <row r="126" spans="1:48" ht="100.8" x14ac:dyDescent="0.55000000000000004">
      <c r="A126" s="48" t="s">
        <v>936</v>
      </c>
      <c r="B126" s="19" t="s">
        <v>342</v>
      </c>
      <c r="C126" s="63" t="s">
        <v>419</v>
      </c>
      <c r="D126" s="19"/>
      <c r="E126" s="19" t="s">
        <v>937</v>
      </c>
      <c r="F126" s="56" t="s">
        <v>326</v>
      </c>
      <c r="G126" s="19"/>
      <c r="H126" s="19" t="s">
        <v>938</v>
      </c>
      <c r="I126" s="19" t="s">
        <v>346</v>
      </c>
      <c r="J126" s="19" t="s">
        <v>939</v>
      </c>
      <c r="K126" s="70" t="s">
        <v>940</v>
      </c>
      <c r="L126" s="100" t="s">
        <v>329</v>
      </c>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row>
    <row r="127" spans="1:48" ht="144" x14ac:dyDescent="0.55000000000000004">
      <c r="A127" s="76" t="s">
        <v>218</v>
      </c>
      <c r="B127" s="47" t="s">
        <v>342</v>
      </c>
      <c r="C127" s="101" t="s">
        <v>382</v>
      </c>
      <c r="D127" s="76" t="s">
        <v>420</v>
      </c>
      <c r="E127" s="76" t="s">
        <v>941</v>
      </c>
      <c r="F127" s="77" t="s">
        <v>326</v>
      </c>
      <c r="G127" s="76"/>
      <c r="H127" s="76" t="s">
        <v>942</v>
      </c>
      <c r="I127" s="76" t="s">
        <v>346</v>
      </c>
      <c r="J127" s="78" t="s">
        <v>943</v>
      </c>
      <c r="K127" s="78" t="s">
        <v>48</v>
      </c>
      <c r="L127" s="48" t="s">
        <v>346</v>
      </c>
      <c r="M127" s="47" t="s">
        <v>346</v>
      </c>
      <c r="N127" s="102" t="s">
        <v>944</v>
      </c>
      <c r="O127" s="102" t="s">
        <v>517</v>
      </c>
      <c r="P127" s="76"/>
      <c r="Q127" s="76"/>
      <c r="R127" s="76"/>
      <c r="S127" s="76"/>
      <c r="T127" s="76"/>
      <c r="U127" s="76"/>
      <c r="V127" s="76"/>
      <c r="W127" s="76"/>
      <c r="X127" s="79" t="s">
        <v>703</v>
      </c>
      <c r="Y127" s="79" t="s">
        <v>703</v>
      </c>
      <c r="Z127" s="79">
        <v>1</v>
      </c>
      <c r="AA127" s="79">
        <v>1</v>
      </c>
      <c r="AB127" s="76"/>
      <c r="AC127" s="76"/>
      <c r="AD127" s="76"/>
      <c r="AE127" s="76"/>
      <c r="AF127" s="76"/>
      <c r="AG127" s="76"/>
      <c r="AH127" s="76"/>
      <c r="AI127" s="76"/>
      <c r="AJ127" s="76"/>
      <c r="AK127" s="76"/>
      <c r="AL127" s="76"/>
      <c r="AM127" s="76"/>
      <c r="AN127" s="76"/>
      <c r="AO127" s="76"/>
      <c r="AP127" s="76"/>
      <c r="AQ127" s="76"/>
      <c r="AR127" s="76"/>
      <c r="AS127" s="76"/>
      <c r="AT127" s="76"/>
      <c r="AU127" s="76"/>
      <c r="AV127" s="76"/>
    </row>
    <row r="128" spans="1:48" ht="144" x14ac:dyDescent="0.55000000000000004">
      <c r="A128" s="61" t="s">
        <v>945</v>
      </c>
      <c r="B128" s="61" t="s">
        <v>333</v>
      </c>
      <c r="C128" s="82" t="s">
        <v>333</v>
      </c>
      <c r="D128" s="61" t="s">
        <v>946</v>
      </c>
      <c r="E128" s="61" t="s">
        <v>947</v>
      </c>
      <c r="F128" s="83" t="s">
        <v>326</v>
      </c>
      <c r="G128" s="61"/>
      <c r="H128" s="61" t="s">
        <v>948</v>
      </c>
      <c r="I128" s="61" t="s">
        <v>346</v>
      </c>
      <c r="J128" s="61" t="s">
        <v>949</v>
      </c>
      <c r="K128" s="84" t="s">
        <v>950</v>
      </c>
      <c r="L128" s="103" t="s">
        <v>329</v>
      </c>
      <c r="M128" s="61"/>
      <c r="N128" s="103" t="s">
        <v>951</v>
      </c>
      <c r="O128" s="61"/>
      <c r="P128" s="61"/>
      <c r="Q128" s="61"/>
      <c r="R128" s="61"/>
      <c r="S128" s="61"/>
      <c r="T128" s="61"/>
      <c r="U128" s="61"/>
      <c r="V128" s="61"/>
      <c r="W128" s="61"/>
      <c r="X128" s="61"/>
      <c r="Y128" s="61"/>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row>
    <row r="129" spans="1:48" ht="193.8" x14ac:dyDescent="0.55000000000000004">
      <c r="A129" s="48" t="s">
        <v>952</v>
      </c>
      <c r="B129" s="47" t="s">
        <v>354</v>
      </c>
      <c r="C129" s="47" t="s">
        <v>364</v>
      </c>
      <c r="D129" s="86" t="s">
        <v>953</v>
      </c>
      <c r="E129" s="47" t="s">
        <v>954</v>
      </c>
      <c r="F129" s="65" t="s">
        <v>326</v>
      </c>
      <c r="G129" s="47"/>
      <c r="H129" s="47" t="s">
        <v>955</v>
      </c>
      <c r="I129" s="47" t="s">
        <v>346</v>
      </c>
      <c r="J129" s="67" t="s">
        <v>956</v>
      </c>
      <c r="K129" s="47" t="s">
        <v>957</v>
      </c>
      <c r="L129" s="47" t="s">
        <v>329</v>
      </c>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row>
    <row r="130" spans="1:48" ht="129.6" x14ac:dyDescent="0.55000000000000004">
      <c r="A130" s="48" t="s">
        <v>958</v>
      </c>
      <c r="B130" s="19" t="s">
        <v>354</v>
      </c>
      <c r="C130" s="19" t="s">
        <v>372</v>
      </c>
      <c r="D130" s="81" t="s">
        <v>959</v>
      </c>
      <c r="E130" s="19" t="s">
        <v>960</v>
      </c>
      <c r="F130" s="56" t="s">
        <v>326</v>
      </c>
      <c r="G130" s="19"/>
      <c r="H130" s="19" t="s">
        <v>961</v>
      </c>
      <c r="I130" s="19" t="s">
        <v>346</v>
      </c>
      <c r="J130" s="19" t="s">
        <v>962</v>
      </c>
      <c r="K130" s="19" t="s">
        <v>963</v>
      </c>
      <c r="L130" s="19" t="s">
        <v>329</v>
      </c>
      <c r="M130" s="19"/>
      <c r="N130" s="19" t="s">
        <v>935</v>
      </c>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row>
    <row r="131" spans="1:48" ht="144" x14ac:dyDescent="0.55000000000000004">
      <c r="A131" s="48" t="s">
        <v>964</v>
      </c>
      <c r="B131" s="47" t="s">
        <v>354</v>
      </c>
      <c r="C131" s="47" t="s">
        <v>372</v>
      </c>
      <c r="D131" s="86" t="s">
        <v>965</v>
      </c>
      <c r="E131" s="47" t="s">
        <v>966</v>
      </c>
      <c r="F131" s="65" t="s">
        <v>326</v>
      </c>
      <c r="G131" s="47"/>
      <c r="H131" s="47" t="s">
        <v>967</v>
      </c>
      <c r="I131" s="47" t="s">
        <v>346</v>
      </c>
      <c r="J131" s="47" t="s">
        <v>968</v>
      </c>
      <c r="K131" s="47" t="s">
        <v>969</v>
      </c>
      <c r="L131" s="47" t="s">
        <v>329</v>
      </c>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row>
    <row r="132" spans="1:48" ht="129.6" x14ac:dyDescent="0.55000000000000004">
      <c r="A132" s="48" t="s">
        <v>970</v>
      </c>
      <c r="B132" s="19" t="s">
        <v>354</v>
      </c>
      <c r="C132" s="19" t="s">
        <v>372</v>
      </c>
      <c r="D132" s="81" t="s">
        <v>971</v>
      </c>
      <c r="E132" s="19" t="s">
        <v>972</v>
      </c>
      <c r="F132" s="56" t="s">
        <v>326</v>
      </c>
      <c r="G132" s="19"/>
      <c r="H132" s="19" t="s">
        <v>973</v>
      </c>
      <c r="I132" s="19" t="s">
        <v>346</v>
      </c>
      <c r="J132" s="19" t="s">
        <v>974</v>
      </c>
      <c r="K132" s="19" t="s">
        <v>975</v>
      </c>
      <c r="L132" s="19" t="s">
        <v>329</v>
      </c>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row>
    <row r="133" spans="1:48" ht="100.8" x14ac:dyDescent="0.55000000000000004">
      <c r="A133" s="48" t="s">
        <v>976</v>
      </c>
      <c r="B133" s="47" t="s">
        <v>342</v>
      </c>
      <c r="C133" s="47" t="s">
        <v>343</v>
      </c>
      <c r="D133" s="47" t="s">
        <v>977</v>
      </c>
      <c r="E133" s="47" t="s">
        <v>978</v>
      </c>
      <c r="F133" s="65" t="s">
        <v>326</v>
      </c>
      <c r="G133" s="47"/>
      <c r="H133" s="47" t="s">
        <v>979</v>
      </c>
      <c r="I133" s="47" t="s">
        <v>346</v>
      </c>
      <c r="J133" s="47" t="s">
        <v>980</v>
      </c>
      <c r="K133" s="67" t="s">
        <v>981</v>
      </c>
      <c r="L133" s="99" t="s">
        <v>329</v>
      </c>
      <c r="M133" s="47"/>
      <c r="N133" s="99" t="s">
        <v>982</v>
      </c>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row>
    <row r="134" spans="1:48" ht="129.6" x14ac:dyDescent="0.55000000000000004">
      <c r="A134" s="48" t="s">
        <v>983</v>
      </c>
      <c r="B134" s="19" t="s">
        <v>342</v>
      </c>
      <c r="C134" s="63" t="s">
        <v>419</v>
      </c>
      <c r="D134" s="19"/>
      <c r="E134" s="19" t="s">
        <v>984</v>
      </c>
      <c r="F134" s="56" t="s">
        <v>326</v>
      </c>
      <c r="G134" s="19"/>
      <c r="H134" s="19" t="s">
        <v>985</v>
      </c>
      <c r="I134" s="19" t="s">
        <v>346</v>
      </c>
      <c r="J134" s="19" t="s">
        <v>986</v>
      </c>
      <c r="K134" s="70" t="s">
        <v>987</v>
      </c>
      <c r="L134" s="48" t="s">
        <v>346</v>
      </c>
      <c r="M134" s="19" t="s">
        <v>329</v>
      </c>
      <c r="N134" s="19"/>
      <c r="O134" s="19" t="s">
        <v>598</v>
      </c>
      <c r="P134" s="19"/>
      <c r="Q134" s="19"/>
      <c r="R134" s="19"/>
      <c r="S134" s="75">
        <v>0</v>
      </c>
      <c r="T134" s="75">
        <v>0</v>
      </c>
      <c r="U134" s="75" t="s">
        <v>704</v>
      </c>
      <c r="V134" s="75" t="s">
        <v>704</v>
      </c>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75">
        <v>1</v>
      </c>
      <c r="AS134" s="75">
        <v>1</v>
      </c>
      <c r="AT134" s="75">
        <v>3</v>
      </c>
      <c r="AU134" s="75">
        <v>3</v>
      </c>
      <c r="AV134" s="19"/>
    </row>
    <row r="135" spans="1:48" ht="100.8" x14ac:dyDescent="0.55000000000000004">
      <c r="A135" s="48" t="s">
        <v>988</v>
      </c>
      <c r="B135" s="47" t="s">
        <v>342</v>
      </c>
      <c r="C135" s="85" t="s">
        <v>419</v>
      </c>
      <c r="D135" s="47"/>
      <c r="E135" s="47" t="s">
        <v>989</v>
      </c>
      <c r="F135" s="65" t="s">
        <v>326</v>
      </c>
      <c r="G135" s="47"/>
      <c r="H135" s="47" t="s">
        <v>990</v>
      </c>
      <c r="I135" s="47" t="s">
        <v>346</v>
      </c>
      <c r="J135" s="47" t="s">
        <v>991</v>
      </c>
      <c r="K135" s="47" t="s">
        <v>992</v>
      </c>
      <c r="L135" s="47" t="s">
        <v>329</v>
      </c>
      <c r="M135" s="47"/>
      <c r="N135" s="47" t="s">
        <v>993</v>
      </c>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row>
    <row r="136" spans="1:48" ht="259.2" x14ac:dyDescent="0.55000000000000004">
      <c r="A136" s="48" t="s">
        <v>994</v>
      </c>
      <c r="B136" s="19" t="s">
        <v>342</v>
      </c>
      <c r="C136" s="19" t="s">
        <v>382</v>
      </c>
      <c r="D136" s="19" t="s">
        <v>995</v>
      </c>
      <c r="E136" s="19" t="s">
        <v>996</v>
      </c>
      <c r="F136" s="56" t="s">
        <v>326</v>
      </c>
      <c r="G136" s="19"/>
      <c r="H136" s="19" t="s">
        <v>997</v>
      </c>
      <c r="I136" s="19" t="s">
        <v>346</v>
      </c>
      <c r="J136" s="19" t="s">
        <v>998</v>
      </c>
      <c r="K136" s="19" t="s">
        <v>999</v>
      </c>
      <c r="L136" s="19" t="s">
        <v>329</v>
      </c>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row>
    <row r="137" spans="1:48" ht="216" x14ac:dyDescent="0.55000000000000004">
      <c r="A137" s="48" t="s">
        <v>1000</v>
      </c>
      <c r="B137" s="64" t="s">
        <v>337</v>
      </c>
      <c r="C137" s="47" t="s">
        <v>364</v>
      </c>
      <c r="D137" s="86" t="s">
        <v>1001</v>
      </c>
      <c r="E137" s="47" t="s">
        <v>1002</v>
      </c>
      <c r="F137" s="65" t="s">
        <v>326</v>
      </c>
      <c r="G137" s="47"/>
      <c r="H137" s="47" t="s">
        <v>1003</v>
      </c>
      <c r="I137" s="47" t="s">
        <v>346</v>
      </c>
      <c r="J137" s="47" t="s">
        <v>1004</v>
      </c>
      <c r="K137" s="47" t="s">
        <v>1005</v>
      </c>
      <c r="L137" s="47" t="s">
        <v>329</v>
      </c>
      <c r="M137" s="47"/>
      <c r="N137" s="47" t="s">
        <v>500</v>
      </c>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row>
    <row r="138" spans="1:48" ht="187.2" x14ac:dyDescent="0.55000000000000004">
      <c r="A138" s="48" t="s">
        <v>1006</v>
      </c>
      <c r="B138" s="19" t="s">
        <v>1007</v>
      </c>
      <c r="C138" s="19" t="s">
        <v>372</v>
      </c>
      <c r="D138" s="81" t="s">
        <v>1008</v>
      </c>
      <c r="E138" s="19" t="s">
        <v>1009</v>
      </c>
      <c r="F138" s="56" t="s">
        <v>326</v>
      </c>
      <c r="G138" s="19"/>
      <c r="H138" s="19" t="s">
        <v>1010</v>
      </c>
      <c r="I138" s="19" t="s">
        <v>346</v>
      </c>
      <c r="J138" s="19" t="s">
        <v>1011</v>
      </c>
      <c r="K138" s="19" t="s">
        <v>1012</v>
      </c>
      <c r="L138" s="19" t="s">
        <v>329</v>
      </c>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row>
    <row r="139" spans="1:48" ht="187.2" x14ac:dyDescent="0.55000000000000004">
      <c r="A139" s="48" t="s">
        <v>1013</v>
      </c>
      <c r="B139" s="47" t="s">
        <v>342</v>
      </c>
      <c r="C139" s="47" t="s">
        <v>343</v>
      </c>
      <c r="D139" s="47" t="s">
        <v>1014</v>
      </c>
      <c r="E139" s="47" t="s">
        <v>1015</v>
      </c>
      <c r="F139" s="65" t="s">
        <v>326</v>
      </c>
      <c r="G139" s="47"/>
      <c r="H139" s="47" t="s">
        <v>1016</v>
      </c>
      <c r="I139" s="47" t="s">
        <v>346</v>
      </c>
      <c r="J139" s="47" t="s">
        <v>1017</v>
      </c>
      <c r="K139" s="47" t="s">
        <v>1018</v>
      </c>
      <c r="L139" s="47" t="s">
        <v>329</v>
      </c>
      <c r="M139" s="47"/>
      <c r="N139" s="47" t="s">
        <v>1019</v>
      </c>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row>
    <row r="140" spans="1:48" ht="129.6" x14ac:dyDescent="0.55000000000000004">
      <c r="A140" s="48" t="s">
        <v>1020</v>
      </c>
      <c r="B140" s="19" t="s">
        <v>1007</v>
      </c>
      <c r="C140" s="19" t="s">
        <v>372</v>
      </c>
      <c r="D140" s="81" t="s">
        <v>1021</v>
      </c>
      <c r="E140" s="19" t="s">
        <v>1022</v>
      </c>
      <c r="F140" s="56" t="s">
        <v>326</v>
      </c>
      <c r="G140" s="19"/>
      <c r="H140" s="19" t="s">
        <v>1023</v>
      </c>
      <c r="I140" s="19" t="s">
        <v>346</v>
      </c>
      <c r="J140" s="19" t="s">
        <v>1024</v>
      </c>
      <c r="K140" s="70" t="s">
        <v>1025</v>
      </c>
      <c r="L140" s="19" t="s">
        <v>329</v>
      </c>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row>
    <row r="141" spans="1:48" ht="172.8" x14ac:dyDescent="0.55000000000000004">
      <c r="A141" s="48" t="s">
        <v>1026</v>
      </c>
      <c r="B141" s="47" t="s">
        <v>342</v>
      </c>
      <c r="C141" s="85" t="s">
        <v>419</v>
      </c>
      <c r="D141" s="47"/>
      <c r="E141" s="47" t="s">
        <v>1027</v>
      </c>
      <c r="F141" s="65" t="s">
        <v>326</v>
      </c>
      <c r="G141" s="47"/>
      <c r="H141" s="47" t="s">
        <v>1028</v>
      </c>
      <c r="I141" s="47" t="s">
        <v>346</v>
      </c>
      <c r="J141" s="67" t="s">
        <v>1029</v>
      </c>
      <c r="K141" s="67" t="s">
        <v>1030</v>
      </c>
      <c r="L141" s="48" t="s">
        <v>346</v>
      </c>
      <c r="M141" s="47" t="s">
        <v>329</v>
      </c>
      <c r="N141" s="47" t="s">
        <v>333</v>
      </c>
      <c r="O141" s="47"/>
      <c r="P141" s="47"/>
      <c r="Q141" s="47"/>
      <c r="R141" s="47"/>
      <c r="S141" s="47"/>
      <c r="T141" s="47"/>
      <c r="U141" s="47"/>
      <c r="V141" s="47"/>
      <c r="W141" s="47"/>
      <c r="X141" s="68">
        <v>0</v>
      </c>
      <c r="Y141" s="68">
        <v>0</v>
      </c>
      <c r="Z141" s="68">
        <v>3</v>
      </c>
      <c r="AA141" s="68">
        <v>2</v>
      </c>
      <c r="AB141" s="47"/>
      <c r="AC141" s="47"/>
      <c r="AD141" s="47"/>
      <c r="AE141" s="47"/>
      <c r="AF141" s="47"/>
      <c r="AG141" s="47"/>
      <c r="AH141" s="47"/>
      <c r="AI141" s="47"/>
      <c r="AJ141" s="47"/>
      <c r="AK141" s="47"/>
      <c r="AL141" s="47"/>
      <c r="AM141" s="68">
        <v>1</v>
      </c>
      <c r="AN141" s="68">
        <v>1</v>
      </c>
      <c r="AO141" s="68">
        <v>3</v>
      </c>
      <c r="AP141" s="68">
        <v>3</v>
      </c>
      <c r="AQ141" s="47"/>
      <c r="AR141" s="47"/>
      <c r="AS141" s="47"/>
      <c r="AT141" s="47"/>
      <c r="AU141" s="47"/>
      <c r="AV141" s="47"/>
    </row>
    <row r="142" spans="1:48" ht="166.2" x14ac:dyDescent="0.55000000000000004">
      <c r="A142" s="48" t="s">
        <v>1031</v>
      </c>
      <c r="B142" s="19" t="s">
        <v>396</v>
      </c>
      <c r="C142" s="19" t="s">
        <v>408</v>
      </c>
      <c r="D142" s="81" t="s">
        <v>1032</v>
      </c>
      <c r="E142" s="19" t="s">
        <v>1033</v>
      </c>
      <c r="F142" s="56" t="s">
        <v>326</v>
      </c>
      <c r="G142" s="19"/>
      <c r="H142" s="19" t="s">
        <v>1034</v>
      </c>
      <c r="I142" s="19" t="s">
        <v>346</v>
      </c>
      <c r="J142" s="19" t="s">
        <v>1035</v>
      </c>
      <c r="K142" s="19" t="s">
        <v>1036</v>
      </c>
      <c r="L142" s="19" t="s">
        <v>329</v>
      </c>
      <c r="M142" s="19"/>
      <c r="N142" s="19" t="s">
        <v>1037</v>
      </c>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row>
    <row r="143" spans="1:48" ht="158.4" x14ac:dyDescent="0.55000000000000004">
      <c r="A143" s="48" t="s">
        <v>1038</v>
      </c>
      <c r="B143" s="47" t="s">
        <v>453</v>
      </c>
      <c r="C143" s="47" t="s">
        <v>454</v>
      </c>
      <c r="D143" s="47" t="s">
        <v>1039</v>
      </c>
      <c r="E143" s="47" t="s">
        <v>1040</v>
      </c>
      <c r="F143" s="65" t="s">
        <v>326</v>
      </c>
      <c r="G143" s="47"/>
      <c r="H143" s="47" t="s">
        <v>1041</v>
      </c>
      <c r="I143" s="47" t="s">
        <v>346</v>
      </c>
      <c r="J143" s="47" t="s">
        <v>1042</v>
      </c>
      <c r="K143" s="47" t="s">
        <v>1043</v>
      </c>
      <c r="L143" s="47" t="s">
        <v>329</v>
      </c>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row>
    <row r="144" spans="1:48" ht="144" x14ac:dyDescent="0.55000000000000004">
      <c r="A144" s="48" t="s">
        <v>1044</v>
      </c>
      <c r="B144" s="19" t="s">
        <v>342</v>
      </c>
      <c r="C144" s="19" t="s">
        <v>382</v>
      </c>
      <c r="D144" s="19" t="s">
        <v>1045</v>
      </c>
      <c r="E144" s="19" t="s">
        <v>1046</v>
      </c>
      <c r="F144" s="56" t="s">
        <v>326</v>
      </c>
      <c r="G144" s="19"/>
      <c r="H144" s="19" t="s">
        <v>1047</v>
      </c>
      <c r="I144" s="19" t="s">
        <v>346</v>
      </c>
      <c r="J144" s="70" t="s">
        <v>1048</v>
      </c>
      <c r="K144" s="70" t="s">
        <v>1049</v>
      </c>
      <c r="L144" s="19" t="s">
        <v>329</v>
      </c>
      <c r="M144" s="19"/>
      <c r="N144" s="19" t="s">
        <v>1050</v>
      </c>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row>
    <row r="145" spans="1:48" x14ac:dyDescent="0.55000000000000004">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row>
    <row r="146" spans="1:48" ht="43.2" x14ac:dyDescent="0.55000000000000004">
      <c r="A146" s="51" t="s">
        <v>133</v>
      </c>
      <c r="B146" s="51" t="s">
        <v>134</v>
      </c>
      <c r="C146" s="51" t="s">
        <v>306</v>
      </c>
      <c r="D146" s="50"/>
      <c r="E146" s="51" t="s">
        <v>307</v>
      </c>
      <c r="F146" s="51" t="s">
        <v>136</v>
      </c>
      <c r="G146" s="51" t="s">
        <v>308</v>
      </c>
      <c r="H146" s="51" t="s">
        <v>309</v>
      </c>
      <c r="I146" s="51" t="s">
        <v>310</v>
      </c>
      <c r="J146" s="51" t="s">
        <v>311</v>
      </c>
      <c r="K146" s="51" t="s">
        <v>57</v>
      </c>
      <c r="L146" s="51" t="s">
        <v>312</v>
      </c>
      <c r="M146" s="50" t="s">
        <v>329</v>
      </c>
      <c r="N146" s="51" t="s">
        <v>314</v>
      </c>
      <c r="O146" s="51" t="s">
        <v>315</v>
      </c>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row>
    <row r="147" spans="1:48" ht="216" x14ac:dyDescent="0.55000000000000004">
      <c r="A147" s="48" t="s">
        <v>175</v>
      </c>
      <c r="B147" s="19" t="s">
        <v>396</v>
      </c>
      <c r="C147" s="19" t="s">
        <v>408</v>
      </c>
      <c r="D147" s="19" t="s">
        <v>1051</v>
      </c>
      <c r="E147" s="19" t="s">
        <v>1052</v>
      </c>
      <c r="F147" s="56" t="s">
        <v>326</v>
      </c>
      <c r="G147" s="19"/>
      <c r="H147" s="19" t="s">
        <v>1053</v>
      </c>
      <c r="I147" s="19" t="s">
        <v>346</v>
      </c>
      <c r="J147" s="70" t="s">
        <v>1054</v>
      </c>
      <c r="K147" s="70" t="s">
        <v>21</v>
      </c>
      <c r="L147" s="48" t="s">
        <v>346</v>
      </c>
      <c r="M147" s="19" t="s">
        <v>329</v>
      </c>
      <c r="N147" s="19" t="s">
        <v>1055</v>
      </c>
      <c r="O147" s="19" t="s">
        <v>1056</v>
      </c>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04">
        <v>1</v>
      </c>
      <c r="AS147" s="104">
        <v>1</v>
      </c>
      <c r="AT147" s="104">
        <v>3</v>
      </c>
      <c r="AU147" s="104">
        <v>3</v>
      </c>
      <c r="AV147" s="1"/>
    </row>
    <row r="148" spans="1:48" ht="187.2" x14ac:dyDescent="0.55000000000000004">
      <c r="A148" s="105" t="s">
        <v>23</v>
      </c>
      <c r="B148" s="47" t="s">
        <v>1007</v>
      </c>
      <c r="C148" s="85" t="s">
        <v>569</v>
      </c>
      <c r="D148" s="47" t="s">
        <v>1057</v>
      </c>
      <c r="E148" s="47" t="s">
        <v>1058</v>
      </c>
      <c r="F148" s="65" t="s">
        <v>326</v>
      </c>
      <c r="G148" s="47"/>
      <c r="H148" s="47" t="s">
        <v>1059</v>
      </c>
      <c r="I148" s="47" t="s">
        <v>346</v>
      </c>
      <c r="J148" s="67" t="s">
        <v>1060</v>
      </c>
      <c r="K148" s="67" t="s">
        <v>22</v>
      </c>
      <c r="L148" s="48" t="s">
        <v>346</v>
      </c>
      <c r="M148" s="47" t="s">
        <v>329</v>
      </c>
      <c r="N148" s="47" t="s">
        <v>1061</v>
      </c>
      <c r="O148" s="47" t="s">
        <v>1056</v>
      </c>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row>
    <row r="149" spans="1:48" ht="216" x14ac:dyDescent="0.55000000000000004">
      <c r="A149" s="48" t="s">
        <v>1062</v>
      </c>
      <c r="B149" s="19" t="s">
        <v>396</v>
      </c>
      <c r="C149" s="19" t="s">
        <v>408</v>
      </c>
      <c r="D149" s="19" t="s">
        <v>1063</v>
      </c>
      <c r="E149" s="19" t="s">
        <v>1064</v>
      </c>
      <c r="F149" s="56" t="s">
        <v>326</v>
      </c>
      <c r="G149" s="19"/>
      <c r="H149" s="19" t="s">
        <v>1065</v>
      </c>
      <c r="I149" s="19" t="s">
        <v>346</v>
      </c>
      <c r="J149" s="70" t="s">
        <v>1066</v>
      </c>
      <c r="K149" s="70" t="s">
        <v>23</v>
      </c>
      <c r="L149" s="48" t="s">
        <v>346</v>
      </c>
      <c r="M149" s="19" t="s">
        <v>329</v>
      </c>
      <c r="N149" s="19" t="s">
        <v>1067</v>
      </c>
      <c r="O149" s="19" t="s">
        <v>1056</v>
      </c>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row>
    <row r="150" spans="1:48" ht="374.4" x14ac:dyDescent="0.55000000000000004">
      <c r="A150" s="48" t="s">
        <v>1068</v>
      </c>
      <c r="B150" s="47" t="s">
        <v>342</v>
      </c>
      <c r="C150" s="47" t="s">
        <v>343</v>
      </c>
      <c r="D150" s="47" t="s">
        <v>1069</v>
      </c>
      <c r="E150" s="47" t="s">
        <v>1070</v>
      </c>
      <c r="F150" s="65" t="s">
        <v>326</v>
      </c>
      <c r="G150" s="47"/>
      <c r="H150" s="47" t="s">
        <v>1071</v>
      </c>
      <c r="I150" s="47" t="s">
        <v>346</v>
      </c>
      <c r="J150" s="67" t="s">
        <v>1072</v>
      </c>
      <c r="K150" s="67" t="s">
        <v>1073</v>
      </c>
      <c r="L150" s="47" t="s">
        <v>329</v>
      </c>
      <c r="M150" s="47"/>
      <c r="N150" s="47" t="s">
        <v>1074</v>
      </c>
      <c r="O150" s="47"/>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row>
    <row r="151" spans="1:48" ht="129.6" x14ac:dyDescent="0.55000000000000004">
      <c r="A151" s="48" t="s">
        <v>1075</v>
      </c>
      <c r="B151" s="19" t="s">
        <v>342</v>
      </c>
      <c r="C151" s="19" t="s">
        <v>382</v>
      </c>
      <c r="D151" s="19" t="s">
        <v>1076</v>
      </c>
      <c r="E151" s="19" t="s">
        <v>1077</v>
      </c>
      <c r="F151" s="56" t="s">
        <v>326</v>
      </c>
      <c r="G151" s="19"/>
      <c r="H151" s="19" t="s">
        <v>1078</v>
      </c>
      <c r="I151" s="19" t="s">
        <v>346</v>
      </c>
      <c r="J151" s="69" t="s">
        <v>1079</v>
      </c>
      <c r="K151" s="70" t="s">
        <v>1080</v>
      </c>
      <c r="L151" s="19" t="s">
        <v>329</v>
      </c>
      <c r="M151" s="19"/>
      <c r="N151" s="19"/>
      <c r="O151" s="19"/>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row>
    <row r="152" spans="1:48" ht="86.4" x14ac:dyDescent="0.55000000000000004">
      <c r="A152" s="93" t="s">
        <v>1081</v>
      </c>
      <c r="B152" s="47" t="s">
        <v>453</v>
      </c>
      <c r="C152" s="93" t="s">
        <v>735</v>
      </c>
      <c r="D152" s="93"/>
      <c r="E152" s="93" t="s">
        <v>1082</v>
      </c>
      <c r="F152" s="94" t="s">
        <v>326</v>
      </c>
      <c r="G152" s="93"/>
      <c r="H152" s="93" t="s">
        <v>1081</v>
      </c>
      <c r="I152" s="93" t="s">
        <v>346</v>
      </c>
      <c r="J152" s="96" t="s">
        <v>1083</v>
      </c>
      <c r="K152" s="96" t="s">
        <v>1084</v>
      </c>
      <c r="L152" s="93" t="s">
        <v>329</v>
      </c>
      <c r="M152" s="93"/>
      <c r="N152" s="93"/>
      <c r="O152" s="93"/>
      <c r="P152" s="93"/>
      <c r="Q152" s="93"/>
      <c r="R152" s="93"/>
      <c r="S152" s="93"/>
      <c r="T152" s="93"/>
      <c r="U152" s="93"/>
      <c r="V152" s="93"/>
      <c r="W152" s="93"/>
      <c r="X152" s="93"/>
      <c r="Y152" s="93"/>
      <c r="Z152" s="93"/>
      <c r="AA152" s="93"/>
      <c r="AB152" s="93"/>
      <c r="AC152" s="93"/>
      <c r="AD152" s="93"/>
      <c r="AE152" s="93"/>
      <c r="AF152" s="93"/>
      <c r="AG152" s="93"/>
      <c r="AH152" s="93"/>
      <c r="AI152" s="93"/>
      <c r="AJ152" s="93"/>
      <c r="AK152" s="93"/>
      <c r="AL152" s="93"/>
      <c r="AM152" s="93"/>
      <c r="AN152" s="93"/>
      <c r="AO152" s="93"/>
      <c r="AP152" s="93"/>
      <c r="AQ152" s="93"/>
      <c r="AR152" s="93"/>
      <c r="AS152" s="93"/>
      <c r="AT152" s="93"/>
      <c r="AU152" s="93"/>
      <c r="AV152" s="93"/>
    </row>
    <row r="153" spans="1:48" x14ac:dyDescent="0.55000000000000004">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row>
    <row r="154" spans="1:48" ht="43.2" x14ac:dyDescent="0.55000000000000004">
      <c r="A154" s="51" t="s">
        <v>133</v>
      </c>
      <c r="B154" s="51" t="s">
        <v>134</v>
      </c>
      <c r="C154" s="51" t="s">
        <v>306</v>
      </c>
      <c r="D154" s="50"/>
      <c r="E154" s="51" t="s">
        <v>307</v>
      </c>
      <c r="F154" s="51" t="s">
        <v>136</v>
      </c>
      <c r="G154" s="51" t="s">
        <v>308</v>
      </c>
      <c r="H154" s="51" t="s">
        <v>309</v>
      </c>
      <c r="I154" s="51" t="s">
        <v>310</v>
      </c>
      <c r="J154" s="51" t="s">
        <v>311</v>
      </c>
      <c r="K154" s="51" t="s">
        <v>57</v>
      </c>
      <c r="L154" s="51" t="s">
        <v>312</v>
      </c>
      <c r="M154" s="50" t="s">
        <v>329</v>
      </c>
      <c r="N154" s="51" t="s">
        <v>314</v>
      </c>
      <c r="O154" s="106" t="s">
        <v>315</v>
      </c>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row>
    <row r="155" spans="1:48" ht="409.5" x14ac:dyDescent="0.55000000000000004">
      <c r="A155" s="48" t="s">
        <v>1085</v>
      </c>
      <c r="B155" s="19" t="s">
        <v>453</v>
      </c>
      <c r="C155" s="19" t="s">
        <v>454</v>
      </c>
      <c r="D155" s="19" t="s">
        <v>356</v>
      </c>
      <c r="E155" s="19" t="s">
        <v>1086</v>
      </c>
      <c r="F155" s="56" t="s">
        <v>326</v>
      </c>
      <c r="G155" s="19"/>
      <c r="H155" s="19" t="s">
        <v>1087</v>
      </c>
      <c r="I155" s="19" t="s">
        <v>346</v>
      </c>
      <c r="J155" s="70" t="s">
        <v>1088</v>
      </c>
      <c r="K155" s="70" t="s">
        <v>1089</v>
      </c>
      <c r="L155" s="19" t="s">
        <v>329</v>
      </c>
      <c r="M155" s="19"/>
      <c r="N155" s="19" t="s">
        <v>1090</v>
      </c>
      <c r="O155" s="19"/>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row>
    <row r="156" spans="1:48" ht="201.6" x14ac:dyDescent="0.55000000000000004">
      <c r="A156" s="48" t="s">
        <v>1091</v>
      </c>
      <c r="B156" s="64" t="s">
        <v>337</v>
      </c>
      <c r="C156" s="47" t="s">
        <v>814</v>
      </c>
      <c r="D156" s="47" t="s">
        <v>1092</v>
      </c>
      <c r="E156" s="47" t="s">
        <v>1093</v>
      </c>
      <c r="F156" s="65" t="s">
        <v>326</v>
      </c>
      <c r="G156" s="47"/>
      <c r="H156" s="47" t="s">
        <v>1094</v>
      </c>
      <c r="I156" s="47" t="s">
        <v>346</v>
      </c>
      <c r="J156" s="47" t="s">
        <v>1095</v>
      </c>
      <c r="K156" s="47" t="s">
        <v>1096</v>
      </c>
      <c r="L156" s="47" t="s">
        <v>329</v>
      </c>
      <c r="M156" s="47"/>
      <c r="N156" s="47"/>
      <c r="O156" s="47"/>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row>
    <row r="157" spans="1:48" ht="360" x14ac:dyDescent="0.55000000000000004">
      <c r="A157" s="48" t="s">
        <v>1097</v>
      </c>
      <c r="B157" s="19" t="s">
        <v>1007</v>
      </c>
      <c r="C157" s="19" t="s">
        <v>372</v>
      </c>
      <c r="D157" s="86" t="s">
        <v>1098</v>
      </c>
      <c r="E157" s="19" t="s">
        <v>1099</v>
      </c>
      <c r="F157" s="56" t="s">
        <v>326</v>
      </c>
      <c r="G157" s="19"/>
      <c r="H157" s="19" t="s">
        <v>1100</v>
      </c>
      <c r="I157" s="19" t="s">
        <v>346</v>
      </c>
      <c r="J157" s="19" t="s">
        <v>1101</v>
      </c>
      <c r="K157" s="19" t="s">
        <v>1102</v>
      </c>
      <c r="L157" s="19" t="s">
        <v>329</v>
      </c>
      <c r="M157" s="19"/>
      <c r="N157" s="19" t="s">
        <v>1103</v>
      </c>
      <c r="O157" s="19"/>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row>
    <row r="158" spans="1:48" ht="409.5" x14ac:dyDescent="0.55000000000000004">
      <c r="A158" s="48" t="s">
        <v>1104</v>
      </c>
      <c r="B158" s="47" t="s">
        <v>396</v>
      </c>
      <c r="C158" s="47" t="s">
        <v>408</v>
      </c>
      <c r="D158" s="107" t="s">
        <v>1105</v>
      </c>
      <c r="E158" s="108" t="s">
        <v>1106</v>
      </c>
      <c r="F158" s="65" t="s">
        <v>326</v>
      </c>
      <c r="G158" s="47"/>
      <c r="H158" s="47" t="s">
        <v>1107</v>
      </c>
      <c r="I158" s="47" t="s">
        <v>346</v>
      </c>
      <c r="J158" s="47" t="s">
        <v>1108</v>
      </c>
      <c r="K158" s="47" t="s">
        <v>1109</v>
      </c>
      <c r="L158" s="47" t="s">
        <v>329</v>
      </c>
      <c r="M158" s="47"/>
      <c r="N158" s="47" t="s">
        <v>1110</v>
      </c>
      <c r="O158" s="47"/>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row>
    <row r="159" spans="1:48" ht="409.5" x14ac:dyDescent="0.55000000000000004">
      <c r="A159" s="48" t="s">
        <v>1111</v>
      </c>
      <c r="B159" s="54" t="s">
        <v>337</v>
      </c>
      <c r="C159" s="19" t="s">
        <v>814</v>
      </c>
      <c r="D159" s="109" t="s">
        <v>1112</v>
      </c>
      <c r="E159" s="109" t="s">
        <v>1113</v>
      </c>
      <c r="F159" s="56" t="s">
        <v>326</v>
      </c>
      <c r="G159" s="19"/>
      <c r="H159" s="19" t="s">
        <v>1114</v>
      </c>
      <c r="I159" s="19" t="s">
        <v>346</v>
      </c>
      <c r="J159" s="19" t="s">
        <v>1115</v>
      </c>
      <c r="K159" s="19" t="s">
        <v>1116</v>
      </c>
      <c r="L159" s="19" t="s">
        <v>329</v>
      </c>
      <c r="M159" s="19"/>
      <c r="N159" s="19" t="s">
        <v>1117</v>
      </c>
      <c r="O159" s="19"/>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row>
    <row r="160" spans="1:48" ht="187.2" x14ac:dyDescent="0.55000000000000004">
      <c r="A160" s="48" t="s">
        <v>1118</v>
      </c>
      <c r="B160" s="64" t="s">
        <v>337</v>
      </c>
      <c r="C160" s="85" t="s">
        <v>338</v>
      </c>
      <c r="D160" s="47"/>
      <c r="E160" s="108" t="s">
        <v>1119</v>
      </c>
      <c r="F160" s="65" t="s">
        <v>326</v>
      </c>
      <c r="G160" s="47"/>
      <c r="H160" s="108" t="s">
        <v>1120</v>
      </c>
      <c r="I160" s="47" t="s">
        <v>329</v>
      </c>
      <c r="J160" s="47"/>
      <c r="K160" s="67" t="s">
        <v>1121</v>
      </c>
      <c r="L160" s="47"/>
      <c r="M160" s="47"/>
      <c r="N160" s="47"/>
      <c r="O160" s="47"/>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row>
    <row r="161" spans="1:48" ht="409.5" x14ac:dyDescent="0.55000000000000004">
      <c r="A161" s="48" t="s">
        <v>1122</v>
      </c>
      <c r="B161" s="19" t="s">
        <v>1007</v>
      </c>
      <c r="C161" s="19" t="s">
        <v>355</v>
      </c>
      <c r="D161" s="109" t="s">
        <v>356</v>
      </c>
      <c r="E161" s="109" t="s">
        <v>1123</v>
      </c>
      <c r="F161" s="56" t="s">
        <v>326</v>
      </c>
      <c r="G161" s="19"/>
      <c r="H161" s="19" t="s">
        <v>1124</v>
      </c>
      <c r="I161" s="19" t="s">
        <v>346</v>
      </c>
      <c r="J161" s="19" t="s">
        <v>1125</v>
      </c>
      <c r="K161" s="19" t="s">
        <v>1126</v>
      </c>
      <c r="L161" s="19" t="s">
        <v>329</v>
      </c>
      <c r="M161" s="19"/>
      <c r="N161" s="19" t="s">
        <v>1127</v>
      </c>
      <c r="O161" s="19"/>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row>
    <row r="162" spans="1:48" ht="259.2" x14ac:dyDescent="0.55000000000000004">
      <c r="A162" s="48" t="s">
        <v>1128</v>
      </c>
      <c r="B162" s="47" t="s">
        <v>342</v>
      </c>
      <c r="C162" s="47" t="s">
        <v>343</v>
      </c>
      <c r="D162" s="47" t="s">
        <v>1129</v>
      </c>
      <c r="E162" s="47" t="s">
        <v>1130</v>
      </c>
      <c r="F162" s="65" t="s">
        <v>326</v>
      </c>
      <c r="G162" s="47"/>
      <c r="H162" s="47" t="s">
        <v>1131</v>
      </c>
      <c r="I162" s="47" t="s">
        <v>346</v>
      </c>
      <c r="J162" s="47" t="s">
        <v>1132</v>
      </c>
      <c r="K162" s="47" t="s">
        <v>1133</v>
      </c>
      <c r="L162" s="47" t="s">
        <v>329</v>
      </c>
      <c r="M162" s="47"/>
      <c r="N162" s="47"/>
      <c r="O162" s="47"/>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row>
    <row r="163" spans="1:48" ht="187.2" x14ac:dyDescent="0.55000000000000004">
      <c r="A163" s="48" t="s">
        <v>1134</v>
      </c>
      <c r="B163" s="19" t="s">
        <v>342</v>
      </c>
      <c r="C163" s="19" t="s">
        <v>592</v>
      </c>
      <c r="D163" s="19"/>
      <c r="E163" s="19" t="s">
        <v>1135</v>
      </c>
      <c r="F163" s="56" t="s">
        <v>326</v>
      </c>
      <c r="G163" s="19"/>
      <c r="H163" s="19" t="s">
        <v>1136</v>
      </c>
      <c r="I163" s="19" t="s">
        <v>346</v>
      </c>
      <c r="J163" s="19" t="s">
        <v>1137</v>
      </c>
      <c r="K163" s="19" t="s">
        <v>1138</v>
      </c>
      <c r="L163" s="19" t="s">
        <v>329</v>
      </c>
      <c r="M163" s="19"/>
      <c r="N163" s="19" t="s">
        <v>1139</v>
      </c>
      <c r="O163" s="19"/>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row>
    <row r="164" spans="1:48" ht="201.6" x14ac:dyDescent="0.55000000000000004">
      <c r="A164" s="48" t="s">
        <v>1140</v>
      </c>
      <c r="B164" s="47" t="s">
        <v>396</v>
      </c>
      <c r="C164" s="47" t="s">
        <v>408</v>
      </c>
      <c r="D164" s="47" t="s">
        <v>1141</v>
      </c>
      <c r="E164" s="47" t="s">
        <v>1142</v>
      </c>
      <c r="F164" s="65" t="s">
        <v>326</v>
      </c>
      <c r="G164" s="47"/>
      <c r="H164" s="47" t="s">
        <v>1143</v>
      </c>
      <c r="I164" s="47" t="s">
        <v>346</v>
      </c>
      <c r="J164" s="47" t="s">
        <v>1144</v>
      </c>
      <c r="K164" s="47" t="s">
        <v>1145</v>
      </c>
      <c r="L164" s="47" t="s">
        <v>329</v>
      </c>
      <c r="M164" s="47"/>
      <c r="N164" s="47"/>
      <c r="O164" s="47"/>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row>
    <row r="165" spans="1:48" ht="409.5" x14ac:dyDescent="0.55000000000000004">
      <c r="A165" s="48" t="s">
        <v>1146</v>
      </c>
      <c r="B165" s="19" t="s">
        <v>396</v>
      </c>
      <c r="C165" s="19" t="s">
        <v>408</v>
      </c>
      <c r="D165" s="86" t="s">
        <v>1147</v>
      </c>
      <c r="E165" s="19" t="s">
        <v>1148</v>
      </c>
      <c r="F165" s="56" t="s">
        <v>326</v>
      </c>
      <c r="G165" s="19"/>
      <c r="H165" s="19" t="s">
        <v>1149</v>
      </c>
      <c r="I165" s="19" t="s">
        <v>346</v>
      </c>
      <c r="J165" s="19" t="s">
        <v>1150</v>
      </c>
      <c r="K165" s="70" t="s">
        <v>1151</v>
      </c>
      <c r="L165" s="19" t="s">
        <v>329</v>
      </c>
      <c r="M165" s="19"/>
      <c r="N165" s="19" t="s">
        <v>1152</v>
      </c>
      <c r="O165" s="19"/>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row>
    <row r="166" spans="1:48" ht="230.4" x14ac:dyDescent="0.55000000000000004">
      <c r="A166" s="76" t="s">
        <v>167</v>
      </c>
      <c r="B166" s="47" t="s">
        <v>1007</v>
      </c>
      <c r="C166" s="101" t="s">
        <v>323</v>
      </c>
      <c r="D166" s="76" t="s">
        <v>1153</v>
      </c>
      <c r="E166" s="76" t="s">
        <v>1154</v>
      </c>
      <c r="F166" s="77" t="s">
        <v>326</v>
      </c>
      <c r="G166" s="76"/>
      <c r="H166" s="76" t="s">
        <v>1155</v>
      </c>
      <c r="I166" s="76" t="s">
        <v>346</v>
      </c>
      <c r="J166" s="76" t="s">
        <v>1156</v>
      </c>
      <c r="K166" s="78" t="s">
        <v>17</v>
      </c>
      <c r="L166" s="48" t="s">
        <v>346</v>
      </c>
      <c r="M166" s="47" t="s">
        <v>329</v>
      </c>
      <c r="N166" s="76"/>
      <c r="O166" s="76"/>
      <c r="P166" s="76"/>
      <c r="Q166" s="76"/>
      <c r="R166" s="76"/>
      <c r="S166" s="79">
        <v>0</v>
      </c>
      <c r="T166" s="79">
        <v>0</v>
      </c>
      <c r="U166" s="79" t="s">
        <v>1157</v>
      </c>
      <c r="V166" s="79">
        <v>0</v>
      </c>
      <c r="W166" s="76"/>
      <c r="X166" s="79">
        <v>0</v>
      </c>
      <c r="Y166" s="79">
        <v>0</v>
      </c>
      <c r="Z166" s="79" t="s">
        <v>1158</v>
      </c>
      <c r="AA166" s="79">
        <v>0</v>
      </c>
      <c r="AB166" s="76"/>
      <c r="AC166" s="79">
        <v>0</v>
      </c>
      <c r="AD166" s="79">
        <v>0</v>
      </c>
      <c r="AE166" s="79" t="s">
        <v>1159</v>
      </c>
      <c r="AF166" s="79" t="s">
        <v>1160</v>
      </c>
      <c r="AG166" s="76"/>
      <c r="AH166" s="79">
        <v>0</v>
      </c>
      <c r="AI166" s="79">
        <v>0</v>
      </c>
      <c r="AJ166" s="79" t="s">
        <v>1161</v>
      </c>
      <c r="AK166" s="79">
        <v>0</v>
      </c>
      <c r="AL166" s="76"/>
      <c r="AM166" s="79">
        <v>0</v>
      </c>
      <c r="AN166" s="79">
        <v>0</v>
      </c>
      <c r="AO166" s="79">
        <v>3</v>
      </c>
      <c r="AP166" s="79">
        <v>0</v>
      </c>
      <c r="AQ166" s="76"/>
      <c r="AR166" s="76"/>
      <c r="AS166" s="76"/>
      <c r="AT166" s="76"/>
      <c r="AU166" s="76"/>
      <c r="AV166" s="76"/>
    </row>
    <row r="167" spans="1:48" ht="331.8" x14ac:dyDescent="0.55000000000000004">
      <c r="A167" s="48" t="s">
        <v>1162</v>
      </c>
      <c r="B167" s="54" t="s">
        <v>337</v>
      </c>
      <c r="C167" s="19" t="s">
        <v>364</v>
      </c>
      <c r="D167" s="110" t="s">
        <v>1163</v>
      </c>
      <c r="E167" s="19" t="s">
        <v>1164</v>
      </c>
      <c r="F167" s="56" t="s">
        <v>326</v>
      </c>
      <c r="G167" s="19"/>
      <c r="H167" s="19" t="s">
        <v>1165</v>
      </c>
      <c r="I167" s="19" t="s">
        <v>346</v>
      </c>
      <c r="J167" s="70" t="s">
        <v>1166</v>
      </c>
      <c r="K167" s="70" t="s">
        <v>1167</v>
      </c>
      <c r="L167" s="19" t="s">
        <v>329</v>
      </c>
      <c r="M167" s="19"/>
      <c r="N167" s="19" t="s">
        <v>1168</v>
      </c>
      <c r="O167" s="19"/>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row>
    <row r="168" spans="1:48" ht="302.39999999999998" x14ac:dyDescent="0.55000000000000004">
      <c r="A168" s="48" t="s">
        <v>1169</v>
      </c>
      <c r="B168" s="47" t="s">
        <v>396</v>
      </c>
      <c r="C168" s="47" t="s">
        <v>408</v>
      </c>
      <c r="D168" s="47" t="s">
        <v>1170</v>
      </c>
      <c r="E168" s="47" t="s">
        <v>1171</v>
      </c>
      <c r="F168" s="65" t="s">
        <v>326</v>
      </c>
      <c r="G168" s="47"/>
      <c r="H168" s="47" t="s">
        <v>1172</v>
      </c>
      <c r="I168" s="47" t="s">
        <v>346</v>
      </c>
      <c r="J168" s="67" t="s">
        <v>1173</v>
      </c>
      <c r="K168" s="67" t="s">
        <v>1174</v>
      </c>
      <c r="L168" s="47" t="s">
        <v>329</v>
      </c>
      <c r="M168" s="47"/>
      <c r="N168" s="47" t="s">
        <v>1175</v>
      </c>
      <c r="O168" s="47"/>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row>
    <row r="169" spans="1:48" ht="259.2" x14ac:dyDescent="0.55000000000000004">
      <c r="A169" s="48" t="s">
        <v>1176</v>
      </c>
      <c r="B169" s="19" t="s">
        <v>342</v>
      </c>
      <c r="C169" s="19" t="s">
        <v>382</v>
      </c>
      <c r="D169" s="19" t="s">
        <v>1177</v>
      </c>
      <c r="E169" s="19" t="s">
        <v>1178</v>
      </c>
      <c r="F169" s="56" t="s">
        <v>326</v>
      </c>
      <c r="G169" s="19"/>
      <c r="H169" s="19" t="s">
        <v>1179</v>
      </c>
      <c r="I169" s="19" t="s">
        <v>346</v>
      </c>
      <c r="J169" s="70" t="s">
        <v>1180</v>
      </c>
      <c r="K169" s="70" t="s">
        <v>1181</v>
      </c>
      <c r="L169" s="19" t="s">
        <v>329</v>
      </c>
      <c r="M169" s="19"/>
      <c r="N169" s="19" t="s">
        <v>1175</v>
      </c>
      <c r="O169" s="19"/>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row>
    <row r="170" spans="1:48" ht="230.4" x14ac:dyDescent="0.55000000000000004">
      <c r="A170" s="93" t="s">
        <v>1182</v>
      </c>
      <c r="B170" s="47" t="s">
        <v>453</v>
      </c>
      <c r="C170" s="111" t="s">
        <v>648</v>
      </c>
      <c r="D170" s="93" t="s">
        <v>1183</v>
      </c>
      <c r="E170" s="93" t="s">
        <v>1184</v>
      </c>
      <c r="F170" s="94" t="s">
        <v>326</v>
      </c>
      <c r="G170" s="93"/>
      <c r="H170" s="93" t="s">
        <v>1185</v>
      </c>
      <c r="I170" s="93" t="s">
        <v>346</v>
      </c>
      <c r="J170" s="96" t="s">
        <v>1186</v>
      </c>
      <c r="K170" s="96" t="s">
        <v>1187</v>
      </c>
      <c r="L170" s="93" t="s">
        <v>329</v>
      </c>
      <c r="M170" s="93"/>
      <c r="N170" s="93" t="s">
        <v>1188</v>
      </c>
      <c r="O170" s="93"/>
      <c r="P170" s="93"/>
      <c r="Q170" s="93"/>
      <c r="R170" s="93"/>
      <c r="S170" s="93"/>
      <c r="T170" s="93"/>
      <c r="U170" s="93"/>
      <c r="V170" s="93"/>
      <c r="W170" s="93"/>
      <c r="X170" s="93"/>
      <c r="Y170" s="93"/>
      <c r="Z170" s="93"/>
      <c r="AA170" s="93"/>
      <c r="AB170" s="93"/>
      <c r="AC170" s="93"/>
      <c r="AD170" s="93"/>
      <c r="AE170" s="93"/>
      <c r="AF170" s="93"/>
      <c r="AG170" s="93"/>
      <c r="AH170" s="93"/>
      <c r="AI170" s="93"/>
      <c r="AJ170" s="93"/>
      <c r="AK170" s="93"/>
      <c r="AL170" s="93"/>
      <c r="AM170" s="93"/>
      <c r="AN170" s="93"/>
      <c r="AO170" s="93"/>
      <c r="AP170" s="93"/>
      <c r="AQ170" s="93"/>
      <c r="AR170" s="93"/>
      <c r="AS170" s="93"/>
      <c r="AT170" s="93"/>
      <c r="AU170" s="93"/>
      <c r="AV170" s="93"/>
    </row>
    <row r="171" spans="1:48" ht="273.60000000000002" x14ac:dyDescent="0.55000000000000004">
      <c r="A171" s="48" t="s">
        <v>1189</v>
      </c>
      <c r="B171" s="19" t="s">
        <v>342</v>
      </c>
      <c r="C171" s="63" t="s">
        <v>419</v>
      </c>
      <c r="D171" s="19"/>
      <c r="E171" s="19" t="s">
        <v>1190</v>
      </c>
      <c r="F171" s="56" t="s">
        <v>326</v>
      </c>
      <c r="G171" s="19"/>
      <c r="H171" s="19" t="s">
        <v>1191</v>
      </c>
      <c r="I171" s="19" t="s">
        <v>346</v>
      </c>
      <c r="J171" s="70" t="s">
        <v>1192</v>
      </c>
      <c r="K171" s="70" t="s">
        <v>1193</v>
      </c>
      <c r="L171" s="19" t="s">
        <v>329</v>
      </c>
      <c r="M171" s="19"/>
      <c r="N171" s="19" t="s">
        <v>1194</v>
      </c>
      <c r="O171" s="19"/>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row>
    <row r="172" spans="1:48" ht="409.5" x14ac:dyDescent="0.55000000000000004">
      <c r="A172" s="48" t="s">
        <v>1195</v>
      </c>
      <c r="B172" s="54" t="s">
        <v>337</v>
      </c>
      <c r="C172" s="19" t="s">
        <v>434</v>
      </c>
      <c r="D172" s="19" t="s">
        <v>1196</v>
      </c>
      <c r="E172" s="19" t="s">
        <v>1197</v>
      </c>
      <c r="F172" s="56" t="s">
        <v>326</v>
      </c>
      <c r="G172" s="19"/>
      <c r="H172" s="19" t="s">
        <v>1198</v>
      </c>
      <c r="I172" s="19" t="s">
        <v>346</v>
      </c>
      <c r="J172" s="70" t="s">
        <v>1199</v>
      </c>
      <c r="K172" s="70" t="s">
        <v>18</v>
      </c>
      <c r="L172" s="48" t="s">
        <v>346</v>
      </c>
      <c r="M172" s="19" t="s">
        <v>329</v>
      </c>
      <c r="N172" s="19" t="s">
        <v>1200</v>
      </c>
      <c r="O172" s="19"/>
      <c r="P172" s="1"/>
      <c r="Q172" s="1"/>
      <c r="R172" s="1"/>
      <c r="S172" s="104">
        <v>0</v>
      </c>
      <c r="T172" s="104">
        <v>0</v>
      </c>
      <c r="U172" s="104" t="s">
        <v>1201</v>
      </c>
      <c r="V172" s="104" t="s">
        <v>427</v>
      </c>
      <c r="W172" s="1"/>
      <c r="X172" s="1"/>
      <c r="Y172" s="1"/>
      <c r="Z172" s="1"/>
      <c r="AA172" s="1"/>
      <c r="AB172" s="1"/>
      <c r="AC172" s="104">
        <v>0</v>
      </c>
      <c r="AD172" s="104">
        <v>0</v>
      </c>
      <c r="AE172" s="104" t="s">
        <v>1202</v>
      </c>
      <c r="AF172" s="104" t="s">
        <v>1203</v>
      </c>
      <c r="AG172" s="1"/>
      <c r="AH172" s="104">
        <v>0</v>
      </c>
      <c r="AI172" s="104">
        <v>0</v>
      </c>
      <c r="AJ172" s="104" t="s">
        <v>1204</v>
      </c>
      <c r="AK172" s="104">
        <v>0</v>
      </c>
      <c r="AL172" s="1"/>
      <c r="AM172" s="1"/>
      <c r="AN172" s="1"/>
      <c r="AO172" s="1"/>
      <c r="AP172" s="1"/>
      <c r="AQ172" s="1"/>
      <c r="AR172" s="1"/>
      <c r="AS172" s="1"/>
      <c r="AT172" s="1"/>
      <c r="AU172" s="1"/>
      <c r="AV172" s="1"/>
    </row>
    <row r="173" spans="1:48" ht="244.8" x14ac:dyDescent="0.55000000000000004">
      <c r="A173" s="48" t="s">
        <v>1205</v>
      </c>
      <c r="B173" s="47" t="s">
        <v>396</v>
      </c>
      <c r="C173" s="47" t="s">
        <v>408</v>
      </c>
      <c r="D173" s="81" t="s">
        <v>1206</v>
      </c>
      <c r="E173" s="47" t="s">
        <v>1207</v>
      </c>
      <c r="F173" s="65" t="s">
        <v>326</v>
      </c>
      <c r="G173" s="47"/>
      <c r="H173" s="47" t="s">
        <v>1208</v>
      </c>
      <c r="I173" s="47" t="s">
        <v>346</v>
      </c>
      <c r="J173" s="67" t="s">
        <v>1209</v>
      </c>
      <c r="K173" s="67" t="s">
        <v>1210</v>
      </c>
      <c r="L173" s="47" t="s">
        <v>329</v>
      </c>
      <c r="M173" s="47"/>
      <c r="N173" s="47" t="s">
        <v>1211</v>
      </c>
      <c r="O173" s="47"/>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spans="1:48" ht="129.6" x14ac:dyDescent="0.55000000000000004">
      <c r="A174" s="48" t="s">
        <v>1212</v>
      </c>
      <c r="B174" s="19" t="s">
        <v>342</v>
      </c>
      <c r="C174" s="19" t="s">
        <v>592</v>
      </c>
      <c r="D174" s="19" t="s">
        <v>857</v>
      </c>
      <c r="E174" s="19"/>
      <c r="F174" s="56" t="s">
        <v>326</v>
      </c>
      <c r="G174" s="19"/>
      <c r="H174" s="19"/>
      <c r="I174" s="112" t="s">
        <v>329</v>
      </c>
      <c r="J174" s="19"/>
      <c r="K174" s="70" t="s">
        <v>1213</v>
      </c>
      <c r="L174" s="19" t="s">
        <v>329</v>
      </c>
      <c r="M174" s="19"/>
      <c r="N174" s="19" t="s">
        <v>1214</v>
      </c>
      <c r="O174" s="19" t="s">
        <v>1215</v>
      </c>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spans="1:48" ht="216" x14ac:dyDescent="0.55000000000000004">
      <c r="A175" s="93" t="s">
        <v>1216</v>
      </c>
      <c r="B175" s="47" t="s">
        <v>453</v>
      </c>
      <c r="C175" s="93" t="s">
        <v>735</v>
      </c>
      <c r="D175" s="93"/>
      <c r="E175" s="93" t="s">
        <v>1217</v>
      </c>
      <c r="F175" s="94" t="s">
        <v>326</v>
      </c>
      <c r="G175" s="93"/>
      <c r="H175" s="93" t="s">
        <v>1218</v>
      </c>
      <c r="I175" s="93" t="s">
        <v>346</v>
      </c>
      <c r="J175" s="96" t="s">
        <v>1209</v>
      </c>
      <c r="K175" s="96" t="s">
        <v>1219</v>
      </c>
      <c r="L175" s="93" t="s">
        <v>329</v>
      </c>
      <c r="M175" s="93"/>
      <c r="N175" s="93" t="s">
        <v>1220</v>
      </c>
      <c r="O175" s="93"/>
      <c r="P175" s="93"/>
      <c r="Q175" s="93"/>
      <c r="R175" s="93"/>
      <c r="S175" s="93"/>
      <c r="T175" s="93"/>
      <c r="U175" s="93"/>
      <c r="V175" s="93"/>
      <c r="W175" s="93"/>
      <c r="X175" s="93"/>
      <c r="Y175" s="93"/>
      <c r="Z175" s="93"/>
      <c r="AA175" s="93"/>
      <c r="AB175" s="93"/>
      <c r="AC175" s="93"/>
      <c r="AD175" s="93"/>
      <c r="AE175" s="93"/>
      <c r="AF175" s="93"/>
      <c r="AG175" s="93"/>
      <c r="AH175" s="93"/>
      <c r="AI175" s="93"/>
      <c r="AJ175" s="93"/>
      <c r="AK175" s="93"/>
      <c r="AL175" s="93"/>
      <c r="AM175" s="93"/>
      <c r="AN175" s="93"/>
      <c r="AO175" s="93"/>
      <c r="AP175" s="93"/>
      <c r="AQ175" s="93"/>
      <c r="AR175" s="93"/>
      <c r="AS175" s="93"/>
      <c r="AT175" s="93"/>
      <c r="AU175" s="93"/>
      <c r="AV175" s="93"/>
    </row>
    <row r="176" spans="1:48" ht="273.60000000000002" x14ac:dyDescent="0.55000000000000004">
      <c r="A176" s="48" t="s">
        <v>1221</v>
      </c>
      <c r="B176" s="19" t="s">
        <v>1007</v>
      </c>
      <c r="C176" s="19" t="s">
        <v>355</v>
      </c>
      <c r="D176" s="19"/>
      <c r="E176" s="19" t="s">
        <v>1222</v>
      </c>
      <c r="F176" s="56" t="s">
        <v>326</v>
      </c>
      <c r="G176" s="19"/>
      <c r="H176" s="19" t="s">
        <v>1223</v>
      </c>
      <c r="I176" s="19" t="s">
        <v>346</v>
      </c>
      <c r="J176" s="70" t="s">
        <v>1224</v>
      </c>
      <c r="K176" s="70" t="s">
        <v>1225</v>
      </c>
      <c r="L176" s="19" t="s">
        <v>329</v>
      </c>
      <c r="M176" s="19"/>
      <c r="N176" s="19" t="s">
        <v>1226</v>
      </c>
      <c r="O176" s="19"/>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row>
    <row r="177" spans="1:48" ht="172.8" x14ac:dyDescent="0.55000000000000004">
      <c r="A177" s="48" t="s">
        <v>1227</v>
      </c>
      <c r="B177" s="47" t="s">
        <v>1007</v>
      </c>
      <c r="C177" s="113" t="s">
        <v>323</v>
      </c>
      <c r="D177" s="47" t="s">
        <v>1228</v>
      </c>
      <c r="E177" s="47" t="s">
        <v>1229</v>
      </c>
      <c r="F177" s="65" t="s">
        <v>326</v>
      </c>
      <c r="G177" s="47"/>
      <c r="H177" s="47" t="s">
        <v>1230</v>
      </c>
      <c r="I177" s="47" t="s">
        <v>346</v>
      </c>
      <c r="J177" s="67" t="s">
        <v>1231</v>
      </c>
      <c r="K177" s="67" t="s">
        <v>1232</v>
      </c>
      <c r="L177" s="47" t="s">
        <v>329</v>
      </c>
      <c r="M177" s="47"/>
      <c r="N177" s="47" t="s">
        <v>1194</v>
      </c>
      <c r="O177" s="47"/>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row>
    <row r="178" spans="1:48" ht="259.2" x14ac:dyDescent="0.55000000000000004">
      <c r="A178" s="48" t="s">
        <v>1233</v>
      </c>
      <c r="B178" s="19" t="s">
        <v>396</v>
      </c>
      <c r="C178" s="19" t="s">
        <v>408</v>
      </c>
      <c r="D178" s="86" t="s">
        <v>1234</v>
      </c>
      <c r="E178" s="19" t="s">
        <v>1235</v>
      </c>
      <c r="F178" s="56" t="s">
        <v>326</v>
      </c>
      <c r="G178" s="19"/>
      <c r="H178" s="19" t="s">
        <v>1236</v>
      </c>
      <c r="I178" s="19" t="s">
        <v>346</v>
      </c>
      <c r="J178" s="19" t="s">
        <v>1236</v>
      </c>
      <c r="K178" s="70" t="s">
        <v>1237</v>
      </c>
      <c r="L178" s="19" t="s">
        <v>329</v>
      </c>
      <c r="M178" s="19"/>
      <c r="N178" s="19" t="s">
        <v>1194</v>
      </c>
      <c r="O178" s="19"/>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row>
    <row r="179" spans="1:48" ht="172.8" x14ac:dyDescent="0.55000000000000004">
      <c r="A179" s="48" t="s">
        <v>1238</v>
      </c>
      <c r="B179" s="64" t="s">
        <v>337</v>
      </c>
      <c r="C179" s="47" t="s">
        <v>364</v>
      </c>
      <c r="D179" s="81" t="s">
        <v>1239</v>
      </c>
      <c r="E179" s="47" t="s">
        <v>1240</v>
      </c>
      <c r="F179" s="65" t="s">
        <v>326</v>
      </c>
      <c r="G179" s="47"/>
      <c r="H179" s="47"/>
      <c r="I179" s="47" t="s">
        <v>329</v>
      </c>
      <c r="J179" s="47"/>
      <c r="K179" s="67" t="s">
        <v>1241</v>
      </c>
      <c r="L179" s="47" t="s">
        <v>329</v>
      </c>
      <c r="M179" s="47"/>
      <c r="N179" s="47"/>
      <c r="O179" s="47"/>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row>
    <row r="180" spans="1:48" ht="144" x14ac:dyDescent="0.55000000000000004">
      <c r="A180" s="48" t="s">
        <v>1242</v>
      </c>
      <c r="B180" s="54" t="s">
        <v>337</v>
      </c>
      <c r="C180" s="63" t="s">
        <v>338</v>
      </c>
      <c r="D180" s="19"/>
      <c r="E180" s="19" t="s">
        <v>1243</v>
      </c>
      <c r="F180" s="56" t="s">
        <v>326</v>
      </c>
      <c r="G180" s="19"/>
      <c r="H180" s="19"/>
      <c r="I180" s="19" t="s">
        <v>329</v>
      </c>
      <c r="J180" s="19"/>
      <c r="K180" s="70" t="s">
        <v>1121</v>
      </c>
      <c r="L180" s="19" t="s">
        <v>329</v>
      </c>
      <c r="M180" s="19"/>
      <c r="N180" s="19" t="s">
        <v>1244</v>
      </c>
      <c r="O180" s="19"/>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row>
    <row r="181" spans="1:48" ht="115.2" x14ac:dyDescent="0.55000000000000004">
      <c r="A181" s="48" t="s">
        <v>170</v>
      </c>
      <c r="B181" s="47" t="s">
        <v>396</v>
      </c>
      <c r="C181" s="47" t="s">
        <v>408</v>
      </c>
      <c r="D181" s="81" t="s">
        <v>1245</v>
      </c>
      <c r="E181" s="47" t="s">
        <v>1243</v>
      </c>
      <c r="F181" s="65" t="s">
        <v>326</v>
      </c>
      <c r="G181" s="47"/>
      <c r="H181" s="47" t="s">
        <v>170</v>
      </c>
      <c r="I181" s="47" t="s">
        <v>346</v>
      </c>
      <c r="J181" s="67" t="s">
        <v>1246</v>
      </c>
      <c r="K181" s="67" t="s">
        <v>19</v>
      </c>
      <c r="L181" s="48" t="s">
        <v>346</v>
      </c>
      <c r="M181" s="47" t="s">
        <v>329</v>
      </c>
      <c r="N181" s="47"/>
      <c r="O181" s="47"/>
      <c r="P181" s="1"/>
      <c r="Q181" s="1"/>
      <c r="R181" s="1"/>
      <c r="S181" s="104">
        <v>0</v>
      </c>
      <c r="T181" s="104">
        <v>0</v>
      </c>
      <c r="U181" s="104" t="s">
        <v>1247</v>
      </c>
      <c r="V181" s="104">
        <v>0</v>
      </c>
      <c r="W181" s="1"/>
      <c r="X181" s="1"/>
      <c r="Y181" s="1"/>
      <c r="Z181" s="1"/>
      <c r="AA181" s="1"/>
      <c r="AB181" s="1"/>
      <c r="AC181" s="104">
        <v>0</v>
      </c>
      <c r="AD181" s="104">
        <v>0</v>
      </c>
      <c r="AE181" s="104" t="s">
        <v>1248</v>
      </c>
      <c r="AF181" s="104">
        <v>0</v>
      </c>
      <c r="AG181" s="1"/>
      <c r="AH181" s="104">
        <v>0</v>
      </c>
      <c r="AI181" s="104">
        <v>0</v>
      </c>
      <c r="AJ181" s="104" t="s">
        <v>1249</v>
      </c>
      <c r="AK181" s="104">
        <v>0</v>
      </c>
      <c r="AL181" s="1"/>
      <c r="AM181" s="1"/>
      <c r="AN181" s="1"/>
      <c r="AO181" s="1"/>
      <c r="AP181" s="1"/>
      <c r="AQ181" s="1"/>
      <c r="AR181" s="104">
        <v>0</v>
      </c>
      <c r="AS181" s="104">
        <v>0</v>
      </c>
      <c r="AT181" s="104">
        <v>3</v>
      </c>
      <c r="AU181" s="104">
        <v>0</v>
      </c>
      <c r="AV181" s="1"/>
    </row>
    <row r="182" spans="1:48" ht="230.4" x14ac:dyDescent="0.55000000000000004">
      <c r="A182" s="48" t="s">
        <v>1250</v>
      </c>
      <c r="B182" s="19" t="s">
        <v>396</v>
      </c>
      <c r="C182" s="19" t="s">
        <v>408</v>
      </c>
      <c r="D182" s="86" t="s">
        <v>1251</v>
      </c>
      <c r="E182" s="19" t="s">
        <v>1252</v>
      </c>
      <c r="F182" s="56" t="s">
        <v>326</v>
      </c>
      <c r="G182" s="19"/>
      <c r="H182" s="19" t="s">
        <v>1253</v>
      </c>
      <c r="I182" s="19" t="s">
        <v>346</v>
      </c>
      <c r="J182" s="70" t="s">
        <v>1254</v>
      </c>
      <c r="K182" s="70" t="s">
        <v>1255</v>
      </c>
      <c r="L182" s="19" t="s">
        <v>329</v>
      </c>
      <c r="M182" s="19"/>
      <c r="N182" s="19" t="s">
        <v>1256</v>
      </c>
      <c r="O182" s="19"/>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row>
    <row r="183" spans="1:48" ht="187.2" x14ac:dyDescent="0.55000000000000004">
      <c r="A183" s="48" t="s">
        <v>173</v>
      </c>
      <c r="B183" s="47" t="s">
        <v>396</v>
      </c>
      <c r="C183" s="47" t="s">
        <v>408</v>
      </c>
      <c r="D183" s="47" t="s">
        <v>1257</v>
      </c>
      <c r="E183" s="47" t="s">
        <v>1258</v>
      </c>
      <c r="F183" s="65" t="s">
        <v>326</v>
      </c>
      <c r="G183" s="47"/>
      <c r="H183" s="47" t="s">
        <v>1259</v>
      </c>
      <c r="I183" s="47" t="s">
        <v>346</v>
      </c>
      <c r="J183" s="67" t="s">
        <v>1260</v>
      </c>
      <c r="K183" s="67" t="s">
        <v>20</v>
      </c>
      <c r="L183" s="48" t="s">
        <v>346</v>
      </c>
      <c r="M183" s="47" t="s">
        <v>329</v>
      </c>
      <c r="N183" s="47"/>
      <c r="O183" s="47"/>
      <c r="P183" s="1"/>
      <c r="Q183" s="1"/>
      <c r="R183" s="1"/>
      <c r="S183" s="104">
        <v>1</v>
      </c>
      <c r="T183" s="104">
        <v>0</v>
      </c>
      <c r="U183" s="104" t="s">
        <v>1261</v>
      </c>
      <c r="V183" s="104" t="s">
        <v>729</v>
      </c>
      <c r="W183" s="1"/>
      <c r="X183" s="1"/>
      <c r="Y183" s="1"/>
      <c r="Z183" s="1"/>
      <c r="AA183" s="1"/>
      <c r="AB183" s="1"/>
      <c r="AC183" s="104">
        <v>1</v>
      </c>
      <c r="AD183" s="104">
        <v>0</v>
      </c>
      <c r="AE183" s="104" t="s">
        <v>1261</v>
      </c>
      <c r="AF183" s="104" t="s">
        <v>729</v>
      </c>
      <c r="AG183" s="1"/>
      <c r="AH183" s="104">
        <v>0</v>
      </c>
      <c r="AI183" s="104">
        <v>0</v>
      </c>
      <c r="AJ183" s="104" t="s">
        <v>703</v>
      </c>
      <c r="AK183" s="104">
        <v>0</v>
      </c>
      <c r="AL183" s="1"/>
      <c r="AM183" s="104">
        <v>0</v>
      </c>
      <c r="AN183" s="104">
        <v>0</v>
      </c>
      <c r="AO183" s="104">
        <v>3</v>
      </c>
      <c r="AP183" s="104">
        <v>0</v>
      </c>
      <c r="AQ183" s="1"/>
      <c r="AR183" s="104">
        <v>0</v>
      </c>
      <c r="AS183" s="104">
        <v>0</v>
      </c>
      <c r="AT183" s="104">
        <v>3</v>
      </c>
      <c r="AU183" s="104">
        <v>0</v>
      </c>
      <c r="AV183" s="1"/>
    </row>
    <row r="184" spans="1:48" ht="14.4" customHeight="1" x14ac:dyDescent="0.55000000000000004">
      <c r="A184" s="87"/>
      <c r="B184" s="87"/>
      <c r="C184" s="87"/>
      <c r="D184" s="87"/>
      <c r="E184" s="87"/>
      <c r="F184" s="87"/>
      <c r="G184" s="87"/>
      <c r="H184" s="87"/>
      <c r="I184" s="87"/>
      <c r="J184" s="87"/>
      <c r="K184" s="87"/>
      <c r="L184" s="87"/>
      <c r="M184" s="87"/>
      <c r="N184" s="87"/>
      <c r="O184" s="87"/>
      <c r="P184" s="137" t="s">
        <v>227</v>
      </c>
      <c r="Q184" s="137"/>
      <c r="R184" s="137"/>
      <c r="S184" s="137"/>
      <c r="T184" s="137"/>
      <c r="U184" s="87"/>
      <c r="V184" s="137" t="s">
        <v>925</v>
      </c>
      <c r="W184" s="137"/>
      <c r="X184" s="137"/>
      <c r="Y184" s="13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row>
    <row r="185" spans="1:48" ht="43.2" x14ac:dyDescent="0.55000000000000004">
      <c r="A185" s="114" t="s">
        <v>133</v>
      </c>
      <c r="B185" s="114" t="s">
        <v>134</v>
      </c>
      <c r="C185" s="114" t="s">
        <v>306</v>
      </c>
      <c r="D185" s="47"/>
      <c r="E185" s="114" t="s">
        <v>307</v>
      </c>
      <c r="F185" s="114" t="s">
        <v>136</v>
      </c>
      <c r="G185" s="114" t="s">
        <v>308</v>
      </c>
      <c r="H185" s="114" t="s">
        <v>309</v>
      </c>
      <c r="I185" s="114" t="s">
        <v>310</v>
      </c>
      <c r="J185" s="114" t="s">
        <v>311</v>
      </c>
      <c r="K185" s="114" t="s">
        <v>57</v>
      </c>
      <c r="L185" s="114" t="s">
        <v>312</v>
      </c>
      <c r="M185" s="47" t="s">
        <v>329</v>
      </c>
      <c r="N185" s="114" t="s">
        <v>314</v>
      </c>
      <c r="O185" s="114" t="s">
        <v>315</v>
      </c>
      <c r="P185" s="51" t="s">
        <v>926</v>
      </c>
      <c r="Q185" s="51" t="s">
        <v>319</v>
      </c>
      <c r="R185" s="51" t="s">
        <v>320</v>
      </c>
      <c r="S185" s="51" t="s">
        <v>927</v>
      </c>
      <c r="T185" s="51" t="s">
        <v>928</v>
      </c>
      <c r="U185" s="51" t="s">
        <v>929</v>
      </c>
      <c r="V185" s="51" t="s">
        <v>319</v>
      </c>
      <c r="W185" s="51" t="s">
        <v>320</v>
      </c>
      <c r="X185" s="51" t="s">
        <v>927</v>
      </c>
      <c r="Y185" s="51" t="s">
        <v>928</v>
      </c>
      <c r="Z185" s="1"/>
      <c r="AA185" s="1"/>
      <c r="AB185" s="1"/>
      <c r="AC185" s="1"/>
      <c r="AD185" s="1"/>
      <c r="AE185" s="1"/>
      <c r="AF185" s="1"/>
      <c r="AG185" s="1"/>
      <c r="AH185" s="1"/>
      <c r="AI185" s="1"/>
      <c r="AJ185" s="1"/>
      <c r="AK185" s="1"/>
      <c r="AL185" s="1"/>
      <c r="AM185" s="1"/>
      <c r="AN185" s="1"/>
      <c r="AO185" s="1"/>
      <c r="AP185" s="1"/>
      <c r="AQ185" s="1"/>
      <c r="AR185" s="1"/>
      <c r="AS185" s="1"/>
      <c r="AT185" s="1"/>
      <c r="AU185" s="1"/>
      <c r="AV185" s="1"/>
    </row>
    <row r="186" spans="1:48" ht="244.8" x14ac:dyDescent="0.55000000000000004">
      <c r="A186" s="48" t="s">
        <v>1262</v>
      </c>
      <c r="B186" s="54" t="s">
        <v>337</v>
      </c>
      <c r="C186" s="19" t="s">
        <v>364</v>
      </c>
      <c r="D186" s="86" t="s">
        <v>1263</v>
      </c>
      <c r="E186" s="19" t="s">
        <v>1264</v>
      </c>
      <c r="F186" s="115" t="s">
        <v>326</v>
      </c>
      <c r="G186" s="19" t="s">
        <v>1265</v>
      </c>
      <c r="H186" s="19" t="s">
        <v>1266</v>
      </c>
      <c r="I186" s="19" t="s">
        <v>346</v>
      </c>
      <c r="J186" s="69" t="s">
        <v>1267</v>
      </c>
      <c r="K186" s="69" t="s">
        <v>1268</v>
      </c>
      <c r="L186" s="19" t="s">
        <v>329</v>
      </c>
      <c r="M186" s="19"/>
      <c r="N186" s="19" t="s">
        <v>1269</v>
      </c>
      <c r="O186" s="19"/>
      <c r="P186" s="19"/>
      <c r="Q186" s="19"/>
      <c r="R186" s="19"/>
      <c r="S186" s="19"/>
      <c r="T186" s="19"/>
      <c r="U186" s="19"/>
      <c r="V186" s="19"/>
      <c r="W186" s="19"/>
      <c r="X186" s="19"/>
      <c r="Y186" s="19"/>
      <c r="Z186" s="1"/>
      <c r="AA186" s="1"/>
      <c r="AB186" s="1"/>
      <c r="AC186" s="1"/>
      <c r="AD186" s="1"/>
      <c r="AE186" s="1"/>
      <c r="AF186" s="1"/>
      <c r="AG186" s="1"/>
      <c r="AH186" s="1"/>
      <c r="AI186" s="1"/>
      <c r="AJ186" s="1"/>
      <c r="AK186" s="1"/>
      <c r="AL186" s="1"/>
      <c r="AM186" s="1"/>
      <c r="AN186" s="1"/>
      <c r="AO186" s="1"/>
      <c r="AP186" s="1"/>
      <c r="AQ186" s="1"/>
      <c r="AR186" s="1"/>
      <c r="AS186" s="1"/>
      <c r="AT186" s="1"/>
      <c r="AU186" s="1"/>
      <c r="AV186" s="1"/>
    </row>
    <row r="187" spans="1:48" ht="86.4" x14ac:dyDescent="0.55000000000000004">
      <c r="A187" s="71" t="s">
        <v>1270</v>
      </c>
      <c r="B187" s="71" t="s">
        <v>333</v>
      </c>
      <c r="C187" s="71" t="s">
        <v>333</v>
      </c>
      <c r="D187" s="71"/>
      <c r="E187" s="71" t="s">
        <v>330</v>
      </c>
      <c r="F187" s="116" t="s">
        <v>334</v>
      </c>
      <c r="G187" s="71" t="s">
        <v>1265</v>
      </c>
      <c r="H187" s="71" t="s">
        <v>1271</v>
      </c>
      <c r="I187" s="71" t="s">
        <v>329</v>
      </c>
      <c r="J187" s="71" t="s">
        <v>330</v>
      </c>
      <c r="K187" s="73" t="s">
        <v>1272</v>
      </c>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row>
    <row r="188" spans="1:48" ht="216" x14ac:dyDescent="0.55000000000000004">
      <c r="A188" s="48" t="s">
        <v>1273</v>
      </c>
      <c r="B188" s="54" t="s">
        <v>337</v>
      </c>
      <c r="C188" s="63" t="s">
        <v>338</v>
      </c>
      <c r="D188" s="19"/>
      <c r="E188" s="19" t="s">
        <v>1274</v>
      </c>
      <c r="F188" s="115" t="s">
        <v>326</v>
      </c>
      <c r="G188" s="19" t="s">
        <v>327</v>
      </c>
      <c r="H188" s="19" t="s">
        <v>1275</v>
      </c>
      <c r="I188" s="19" t="s">
        <v>346</v>
      </c>
      <c r="J188" s="19" t="s">
        <v>1276</v>
      </c>
      <c r="K188" s="69" t="s">
        <v>1277</v>
      </c>
      <c r="L188" s="19" t="s">
        <v>329</v>
      </c>
      <c r="M188" s="19"/>
      <c r="N188" s="117" t="s">
        <v>1278</v>
      </c>
      <c r="O188" s="19"/>
      <c r="P188" s="19"/>
      <c r="Q188" s="19"/>
      <c r="R188" s="19"/>
      <c r="S188" s="19"/>
      <c r="T188" s="19"/>
      <c r="U188" s="19"/>
      <c r="V188" s="19"/>
      <c r="W188" s="19"/>
      <c r="X188" s="19"/>
      <c r="Y188" s="19"/>
      <c r="Z188" s="1"/>
      <c r="AA188" s="1"/>
      <c r="AB188" s="1"/>
      <c r="AC188" s="1"/>
      <c r="AD188" s="1"/>
      <c r="AE188" s="1"/>
      <c r="AF188" s="1"/>
      <c r="AG188" s="1"/>
      <c r="AH188" s="1"/>
      <c r="AI188" s="1"/>
      <c r="AJ188" s="1"/>
      <c r="AK188" s="1"/>
      <c r="AL188" s="1"/>
      <c r="AM188" s="1"/>
      <c r="AN188" s="1"/>
      <c r="AO188" s="1"/>
      <c r="AP188" s="1"/>
      <c r="AQ188" s="1"/>
      <c r="AR188" s="1"/>
      <c r="AS188" s="1"/>
      <c r="AT188" s="1"/>
      <c r="AU188" s="1"/>
      <c r="AV188" s="1"/>
    </row>
    <row r="189" spans="1:48" ht="129.6" x14ac:dyDescent="0.55000000000000004">
      <c r="A189" s="48" t="s">
        <v>1279</v>
      </c>
      <c r="B189" s="64" t="s">
        <v>337</v>
      </c>
      <c r="C189" s="85" t="s">
        <v>338</v>
      </c>
      <c r="D189" s="47"/>
      <c r="E189" s="47" t="s">
        <v>1280</v>
      </c>
      <c r="F189" s="118" t="s">
        <v>1281</v>
      </c>
      <c r="G189" s="47"/>
      <c r="H189" s="47" t="s">
        <v>330</v>
      </c>
      <c r="I189" s="47" t="s">
        <v>329</v>
      </c>
      <c r="J189" s="47" t="s">
        <v>330</v>
      </c>
      <c r="K189" s="66" t="s">
        <v>1282</v>
      </c>
      <c r="L189" s="47"/>
      <c r="M189" s="47"/>
      <c r="N189" s="47"/>
      <c r="O189" s="47"/>
      <c r="P189" s="47"/>
      <c r="Q189" s="47"/>
      <c r="R189" s="47"/>
      <c r="S189" s="47"/>
      <c r="T189" s="47"/>
      <c r="U189" s="47"/>
      <c r="V189" s="47"/>
      <c r="W189" s="47"/>
      <c r="X189" s="47"/>
      <c r="Y189" s="47"/>
      <c r="Z189" s="1"/>
      <c r="AA189" s="1"/>
      <c r="AB189" s="1"/>
      <c r="AC189" s="1"/>
      <c r="AD189" s="1"/>
      <c r="AE189" s="1"/>
      <c r="AF189" s="1"/>
      <c r="AG189" s="1"/>
      <c r="AH189" s="1"/>
      <c r="AI189" s="1"/>
      <c r="AJ189" s="1"/>
      <c r="AK189" s="1"/>
      <c r="AL189" s="1"/>
      <c r="AM189" s="1"/>
      <c r="AN189" s="1"/>
      <c r="AO189" s="1"/>
      <c r="AP189" s="1"/>
      <c r="AQ189" s="1"/>
      <c r="AR189" s="1"/>
      <c r="AS189" s="1"/>
      <c r="AT189" s="1"/>
      <c r="AU189" s="1"/>
      <c r="AV189" s="1"/>
    </row>
    <row r="190" spans="1:48" ht="100.8" x14ac:dyDescent="0.55000000000000004">
      <c r="A190" s="48" t="s">
        <v>1283</v>
      </c>
      <c r="B190" s="54" t="s">
        <v>337</v>
      </c>
      <c r="C190" s="19" t="s">
        <v>434</v>
      </c>
      <c r="D190" s="19" t="s">
        <v>1284</v>
      </c>
      <c r="E190" s="19" t="s">
        <v>1285</v>
      </c>
      <c r="F190" s="115" t="s">
        <v>326</v>
      </c>
      <c r="G190" s="19"/>
      <c r="H190" s="19" t="s">
        <v>1286</v>
      </c>
      <c r="I190" s="19" t="s">
        <v>346</v>
      </c>
      <c r="J190" s="19" t="s">
        <v>1287</v>
      </c>
      <c r="K190" s="69" t="s">
        <v>1288</v>
      </c>
      <c r="L190" s="19" t="s">
        <v>329</v>
      </c>
      <c r="M190" s="19"/>
      <c r="N190" s="117" t="s">
        <v>1289</v>
      </c>
      <c r="O190" s="19"/>
      <c r="P190" s="19"/>
      <c r="Q190" s="19"/>
      <c r="R190" s="19"/>
      <c r="S190" s="19"/>
      <c r="T190" s="19"/>
      <c r="U190" s="19"/>
      <c r="V190" s="19"/>
      <c r="W190" s="19"/>
      <c r="X190" s="19"/>
      <c r="Y190" s="19"/>
      <c r="Z190" s="1"/>
      <c r="AA190" s="1"/>
      <c r="AB190" s="1"/>
      <c r="AC190" s="1"/>
      <c r="AD190" s="1"/>
      <c r="AE190" s="1"/>
      <c r="AF190" s="1"/>
      <c r="AG190" s="1"/>
      <c r="AH190" s="1"/>
      <c r="AI190" s="1"/>
      <c r="AJ190" s="1"/>
      <c r="AK190" s="1"/>
      <c r="AL190" s="1"/>
      <c r="AM190" s="1"/>
      <c r="AN190" s="1"/>
      <c r="AO190" s="1"/>
      <c r="AP190" s="1"/>
      <c r="AQ190" s="1"/>
      <c r="AR190" s="1"/>
      <c r="AS190" s="1"/>
      <c r="AT190" s="1"/>
      <c r="AU190" s="1"/>
      <c r="AV190" s="1"/>
    </row>
    <row r="191" spans="1:48" ht="144" x14ac:dyDescent="0.55000000000000004">
      <c r="A191" s="48" t="s">
        <v>1290</v>
      </c>
      <c r="B191" s="47" t="s">
        <v>342</v>
      </c>
      <c r="C191" s="85" t="s">
        <v>419</v>
      </c>
      <c r="D191" s="47"/>
      <c r="E191" s="47" t="s">
        <v>1291</v>
      </c>
      <c r="F191" s="119" t="s">
        <v>326</v>
      </c>
      <c r="G191" s="47"/>
      <c r="H191" s="47" t="s">
        <v>1292</v>
      </c>
      <c r="I191" s="47" t="s">
        <v>346</v>
      </c>
      <c r="J191" s="47" t="s">
        <v>1293</v>
      </c>
      <c r="K191" s="47" t="s">
        <v>1294</v>
      </c>
      <c r="L191" s="47" t="s">
        <v>329</v>
      </c>
      <c r="M191" s="47"/>
      <c r="N191" s="47" t="s">
        <v>1295</v>
      </c>
      <c r="O191" s="47"/>
      <c r="P191" s="47"/>
      <c r="Q191" s="47"/>
      <c r="R191" s="47"/>
      <c r="S191" s="47"/>
      <c r="T191" s="47"/>
      <c r="U191" s="47"/>
      <c r="V191" s="47"/>
      <c r="W191" s="47"/>
      <c r="X191" s="47"/>
      <c r="Y191" s="47"/>
      <c r="Z191" s="1"/>
      <c r="AA191" s="1"/>
      <c r="AB191" s="1"/>
      <c r="AC191" s="1"/>
      <c r="AD191" s="1"/>
      <c r="AE191" s="1"/>
      <c r="AF191" s="1"/>
      <c r="AG191" s="1"/>
      <c r="AH191" s="1"/>
      <c r="AI191" s="1"/>
      <c r="AJ191" s="1"/>
      <c r="AK191" s="1"/>
      <c r="AL191" s="1"/>
      <c r="AM191" s="1"/>
      <c r="AN191" s="1"/>
      <c r="AO191" s="1"/>
      <c r="AP191" s="1"/>
      <c r="AQ191" s="1"/>
      <c r="AR191" s="1"/>
      <c r="AS191" s="1"/>
      <c r="AT191" s="1"/>
      <c r="AU191" s="1"/>
      <c r="AV191" s="1"/>
    </row>
    <row r="192" spans="1:48" ht="207.6" x14ac:dyDescent="0.55000000000000004">
      <c r="A192" s="48" t="s">
        <v>1296</v>
      </c>
      <c r="B192" s="54" t="s">
        <v>337</v>
      </c>
      <c r="C192" s="19" t="s">
        <v>364</v>
      </c>
      <c r="D192" s="88" t="s">
        <v>1297</v>
      </c>
      <c r="E192" s="19" t="s">
        <v>1298</v>
      </c>
      <c r="F192" s="115" t="s">
        <v>326</v>
      </c>
      <c r="G192" s="19"/>
      <c r="H192" s="19" t="s">
        <v>1299</v>
      </c>
      <c r="I192" s="19" t="s">
        <v>346</v>
      </c>
      <c r="J192" s="19" t="s">
        <v>1300</v>
      </c>
      <c r="K192" s="19" t="s">
        <v>1301</v>
      </c>
      <c r="L192" s="19" t="s">
        <v>329</v>
      </c>
      <c r="M192" s="19"/>
      <c r="N192" s="19" t="s">
        <v>1278</v>
      </c>
      <c r="O192" s="19"/>
      <c r="P192" s="19"/>
      <c r="Q192" s="19"/>
      <c r="R192" s="19"/>
      <c r="S192" s="19"/>
      <c r="T192" s="19"/>
      <c r="U192" s="19"/>
      <c r="V192" s="19"/>
      <c r="W192" s="19"/>
      <c r="X192" s="19"/>
      <c r="Y192" s="19"/>
      <c r="Z192" s="1"/>
      <c r="AA192" s="1"/>
      <c r="AB192" s="1"/>
      <c r="AC192" s="1"/>
      <c r="AD192" s="1"/>
      <c r="AE192" s="1"/>
      <c r="AF192" s="1"/>
      <c r="AG192" s="1"/>
      <c r="AH192" s="1"/>
      <c r="AI192" s="1"/>
      <c r="AJ192" s="1"/>
      <c r="AK192" s="1"/>
      <c r="AL192" s="1"/>
      <c r="AM192" s="1"/>
      <c r="AN192" s="1"/>
      <c r="AO192" s="1"/>
      <c r="AP192" s="1"/>
      <c r="AQ192" s="1"/>
      <c r="AR192" s="1"/>
      <c r="AS192" s="1"/>
      <c r="AT192" s="1"/>
      <c r="AU192" s="1"/>
      <c r="AV192" s="1"/>
    </row>
    <row r="193" spans="1:48" ht="221.4" x14ac:dyDescent="0.55000000000000004">
      <c r="A193" s="48" t="s">
        <v>1302</v>
      </c>
      <c r="B193" s="54" t="s">
        <v>337</v>
      </c>
      <c r="C193" s="19" t="s">
        <v>364</v>
      </c>
      <c r="D193" s="88" t="s">
        <v>1303</v>
      </c>
      <c r="E193" s="19" t="s">
        <v>1304</v>
      </c>
      <c r="F193" s="115" t="s">
        <v>326</v>
      </c>
      <c r="G193" s="19"/>
      <c r="H193" s="19" t="s">
        <v>1305</v>
      </c>
      <c r="I193" s="19" t="s">
        <v>346</v>
      </c>
      <c r="J193" s="19" t="s">
        <v>1306</v>
      </c>
      <c r="K193" s="69" t="s">
        <v>1307</v>
      </c>
      <c r="L193" s="19" t="s">
        <v>329</v>
      </c>
      <c r="M193" s="19"/>
      <c r="N193" s="19" t="s">
        <v>1308</v>
      </c>
      <c r="O193" s="19"/>
      <c r="P193" s="19"/>
      <c r="Q193" s="19"/>
      <c r="R193" s="19"/>
      <c r="S193" s="19"/>
      <c r="T193" s="19"/>
      <c r="U193" s="19"/>
      <c r="V193" s="19"/>
      <c r="W193" s="19"/>
      <c r="X193" s="19"/>
      <c r="Y193" s="19"/>
      <c r="Z193" s="1"/>
      <c r="AA193" s="1"/>
      <c r="AB193" s="1"/>
      <c r="AC193" s="1"/>
      <c r="AD193" s="1"/>
      <c r="AE193" s="1"/>
      <c r="AF193" s="1"/>
      <c r="AG193" s="1"/>
      <c r="AH193" s="1"/>
      <c r="AI193" s="1"/>
      <c r="AJ193" s="1"/>
      <c r="AK193" s="1"/>
      <c r="AL193" s="1"/>
      <c r="AM193" s="1"/>
      <c r="AN193" s="1"/>
      <c r="AO193" s="1"/>
      <c r="AP193" s="1"/>
      <c r="AQ193" s="1"/>
      <c r="AR193" s="1"/>
      <c r="AS193" s="1"/>
      <c r="AT193" s="1"/>
      <c r="AU193" s="1"/>
      <c r="AV193" s="1"/>
    </row>
    <row r="194" spans="1:48" ht="97.2" x14ac:dyDescent="0.55000000000000004">
      <c r="A194" s="48"/>
      <c r="B194" s="64" t="s">
        <v>337</v>
      </c>
      <c r="C194" s="47" t="s">
        <v>364</v>
      </c>
      <c r="D194" s="88" t="s">
        <v>1309</v>
      </c>
      <c r="E194" s="47"/>
      <c r="F194" s="47"/>
      <c r="G194" s="47"/>
      <c r="H194" s="47"/>
      <c r="I194" s="47"/>
      <c r="J194" s="47"/>
      <c r="K194" s="47" t="s">
        <v>1310</v>
      </c>
      <c r="L194" s="47" t="s">
        <v>329</v>
      </c>
      <c r="M194" s="47"/>
      <c r="N194" s="47" t="s">
        <v>1194</v>
      </c>
      <c r="O194" s="47"/>
      <c r="P194" s="47"/>
      <c r="Q194" s="47"/>
      <c r="R194" s="47"/>
      <c r="S194" s="47"/>
      <c r="T194" s="47"/>
      <c r="U194" s="47"/>
      <c r="V194" s="47"/>
      <c r="W194" s="47"/>
      <c r="X194" s="47"/>
      <c r="Y194" s="47"/>
      <c r="Z194" s="1"/>
      <c r="AA194" s="1"/>
      <c r="AB194" s="1"/>
      <c r="AC194" s="1"/>
      <c r="AD194" s="1"/>
      <c r="AE194" s="1"/>
      <c r="AF194" s="1"/>
      <c r="AG194" s="1"/>
      <c r="AH194" s="1"/>
      <c r="AI194" s="1"/>
      <c r="AJ194" s="1"/>
      <c r="AK194" s="1"/>
      <c r="AL194" s="1"/>
      <c r="AM194" s="1"/>
      <c r="AN194" s="1"/>
      <c r="AO194" s="1"/>
      <c r="AP194" s="1"/>
      <c r="AQ194" s="1"/>
      <c r="AR194" s="1"/>
      <c r="AS194" s="1"/>
      <c r="AT194" s="1"/>
      <c r="AU194" s="1"/>
      <c r="AV194" s="1"/>
    </row>
    <row r="195" spans="1:48" ht="72" x14ac:dyDescent="0.55000000000000004">
      <c r="A195" s="71"/>
      <c r="B195" s="71" t="s">
        <v>333</v>
      </c>
      <c r="C195" s="71" t="s">
        <v>333</v>
      </c>
      <c r="D195" s="88" t="s">
        <v>851</v>
      </c>
      <c r="E195" s="71"/>
      <c r="F195" s="71"/>
      <c r="G195" s="71"/>
      <c r="H195" s="71"/>
      <c r="I195" s="71"/>
      <c r="J195" s="71"/>
      <c r="K195" s="71" t="s">
        <v>1311</v>
      </c>
      <c r="L195" s="71" t="s">
        <v>329</v>
      </c>
      <c r="M195" s="71"/>
      <c r="N195" s="120" t="s">
        <v>1312</v>
      </c>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row>
    <row r="196" spans="1:48" ht="72" x14ac:dyDescent="0.55000000000000004">
      <c r="A196" s="71"/>
      <c r="B196" s="71" t="s">
        <v>333</v>
      </c>
      <c r="C196" s="71" t="s">
        <v>333</v>
      </c>
      <c r="D196" s="88" t="s">
        <v>851</v>
      </c>
      <c r="E196" s="71"/>
      <c r="F196" s="71"/>
      <c r="G196" s="71"/>
      <c r="H196" s="71"/>
      <c r="I196" s="71"/>
      <c r="J196" s="71"/>
      <c r="K196" s="71" t="s">
        <v>1313</v>
      </c>
      <c r="L196" s="71" t="s">
        <v>329</v>
      </c>
      <c r="M196" s="71"/>
      <c r="N196" s="71" t="s">
        <v>1314</v>
      </c>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row>
    <row r="197" spans="1:48" ht="97.2" x14ac:dyDescent="0.55000000000000004">
      <c r="A197" s="48"/>
      <c r="B197" s="54" t="s">
        <v>337</v>
      </c>
      <c r="C197" s="19" t="s">
        <v>364</v>
      </c>
      <c r="D197" s="88" t="s">
        <v>1315</v>
      </c>
      <c r="E197" s="19"/>
      <c r="F197" s="19"/>
      <c r="G197" s="19"/>
      <c r="H197" s="19"/>
      <c r="I197" s="19"/>
      <c r="J197" s="19"/>
      <c r="K197" s="19" t="s">
        <v>1316</v>
      </c>
      <c r="L197" s="19" t="s">
        <v>329</v>
      </c>
      <c r="M197" s="19"/>
      <c r="N197" s="19" t="s">
        <v>1194</v>
      </c>
      <c r="O197" s="19"/>
      <c r="P197" s="19"/>
      <c r="Q197" s="19"/>
      <c r="R197" s="19"/>
      <c r="S197" s="19"/>
      <c r="T197" s="19"/>
      <c r="U197" s="19"/>
      <c r="V197" s="19"/>
      <c r="W197" s="19"/>
      <c r="X197" s="19"/>
      <c r="Y197" s="19"/>
      <c r="Z197" s="1"/>
      <c r="AA197" s="1"/>
      <c r="AB197" s="1"/>
      <c r="AC197" s="1"/>
      <c r="AD197" s="1"/>
      <c r="AE197" s="1"/>
      <c r="AF197" s="1"/>
      <c r="AG197" s="1"/>
      <c r="AH197" s="1"/>
      <c r="AI197" s="1"/>
      <c r="AJ197" s="1"/>
      <c r="AK197" s="1"/>
      <c r="AL197" s="1"/>
      <c r="AM197" s="1"/>
      <c r="AN197" s="1"/>
      <c r="AO197" s="1"/>
      <c r="AP197" s="1"/>
      <c r="AQ197" s="1"/>
      <c r="AR197" s="1"/>
      <c r="AS197" s="1"/>
      <c r="AT197" s="1"/>
      <c r="AU197" s="1"/>
      <c r="AV197" s="1"/>
    </row>
    <row r="198" spans="1:48" ht="100.8" x14ac:dyDescent="0.55000000000000004">
      <c r="A198" s="48" t="s">
        <v>1317</v>
      </c>
      <c r="B198" s="64" t="s">
        <v>337</v>
      </c>
      <c r="C198" s="85" t="s">
        <v>338</v>
      </c>
      <c r="D198" s="47"/>
      <c r="E198" s="47" t="s">
        <v>1318</v>
      </c>
      <c r="F198" s="119" t="s">
        <v>326</v>
      </c>
      <c r="G198" s="47"/>
      <c r="H198" s="47" t="s">
        <v>1319</v>
      </c>
      <c r="I198" s="47" t="s">
        <v>346</v>
      </c>
      <c r="J198" s="47" t="s">
        <v>1320</v>
      </c>
      <c r="K198" s="47" t="s">
        <v>1321</v>
      </c>
      <c r="L198" s="47" t="s">
        <v>329</v>
      </c>
      <c r="M198" s="47"/>
      <c r="N198" s="47"/>
      <c r="O198" s="47"/>
      <c r="P198" s="47"/>
      <c r="Q198" s="47"/>
      <c r="R198" s="47"/>
      <c r="S198" s="47"/>
      <c r="T198" s="47"/>
      <c r="U198" s="47"/>
      <c r="V198" s="47"/>
      <c r="W198" s="47"/>
      <c r="X198" s="47"/>
      <c r="Y198" s="47"/>
      <c r="Z198" s="1"/>
      <c r="AA198" s="1"/>
      <c r="AB198" s="1"/>
      <c r="AC198" s="1"/>
      <c r="AD198" s="1"/>
      <c r="AE198" s="1"/>
      <c r="AF198" s="1"/>
      <c r="AG198" s="1"/>
      <c r="AH198" s="1"/>
      <c r="AI198" s="1"/>
      <c r="AJ198" s="1"/>
      <c r="AK198" s="1"/>
      <c r="AL198" s="1"/>
      <c r="AM198" s="1"/>
      <c r="AN198" s="1"/>
      <c r="AO198" s="1"/>
      <c r="AP198" s="1"/>
      <c r="AQ198" s="1"/>
      <c r="AR198" s="1"/>
      <c r="AS198" s="1"/>
      <c r="AT198" s="1"/>
      <c r="AU198" s="1"/>
      <c r="AV198" s="1"/>
    </row>
    <row r="199" spans="1:48" ht="100.8" x14ac:dyDescent="0.55000000000000004">
      <c r="A199" s="48" t="s">
        <v>1322</v>
      </c>
      <c r="B199" s="19" t="s">
        <v>1007</v>
      </c>
      <c r="C199" s="19" t="s">
        <v>372</v>
      </c>
      <c r="D199" s="86" t="s">
        <v>1323</v>
      </c>
      <c r="E199" s="19" t="s">
        <v>1323</v>
      </c>
      <c r="F199" s="115" t="s">
        <v>326</v>
      </c>
      <c r="G199" s="19"/>
      <c r="H199" s="19" t="s">
        <v>1324</v>
      </c>
      <c r="I199" s="19" t="s">
        <v>346</v>
      </c>
      <c r="J199" s="19" t="s">
        <v>1325</v>
      </c>
      <c r="K199" s="19" t="s">
        <v>1326</v>
      </c>
      <c r="L199" s="19" t="s">
        <v>329</v>
      </c>
      <c r="M199" s="19"/>
      <c r="N199" s="19"/>
      <c r="O199" s="19"/>
      <c r="P199" s="19"/>
      <c r="Q199" s="19"/>
      <c r="R199" s="19"/>
      <c r="S199" s="19"/>
      <c r="T199" s="19"/>
      <c r="U199" s="19"/>
      <c r="V199" s="19"/>
      <c r="W199" s="19"/>
      <c r="X199" s="19"/>
      <c r="Y199" s="19"/>
      <c r="Z199" s="1"/>
      <c r="AA199" s="1"/>
      <c r="AB199" s="1"/>
      <c r="AC199" s="1"/>
      <c r="AD199" s="1"/>
      <c r="AE199" s="1"/>
      <c r="AF199" s="1"/>
      <c r="AG199" s="1"/>
      <c r="AH199" s="1"/>
      <c r="AI199" s="1"/>
      <c r="AJ199" s="1"/>
      <c r="AK199" s="1"/>
      <c r="AL199" s="1"/>
      <c r="AM199" s="1"/>
      <c r="AN199" s="1"/>
      <c r="AO199" s="1"/>
      <c r="AP199" s="1"/>
      <c r="AQ199" s="1"/>
      <c r="AR199" s="1"/>
      <c r="AS199" s="1"/>
      <c r="AT199" s="1"/>
      <c r="AU199" s="1"/>
      <c r="AV199" s="1"/>
    </row>
    <row r="200" spans="1:48" ht="158.4" x14ac:dyDescent="0.55000000000000004">
      <c r="A200" s="48" t="s">
        <v>1327</v>
      </c>
      <c r="B200" s="64" t="s">
        <v>337</v>
      </c>
      <c r="C200" s="47" t="s">
        <v>364</v>
      </c>
      <c r="D200" s="81" t="s">
        <v>1328</v>
      </c>
      <c r="E200" s="47" t="s">
        <v>330</v>
      </c>
      <c r="F200" s="47" t="s">
        <v>326</v>
      </c>
      <c r="G200" s="47"/>
      <c r="H200" s="47" t="s">
        <v>330</v>
      </c>
      <c r="I200" s="47" t="s">
        <v>329</v>
      </c>
      <c r="J200" s="47" t="s">
        <v>330</v>
      </c>
      <c r="K200" s="67" t="s">
        <v>1329</v>
      </c>
      <c r="L200" s="47"/>
      <c r="M200" s="47"/>
      <c r="N200" s="47"/>
      <c r="O200" s="47"/>
      <c r="P200" s="47"/>
      <c r="Q200" s="47"/>
      <c r="R200" s="47"/>
      <c r="S200" s="47"/>
      <c r="T200" s="47"/>
      <c r="U200" s="47"/>
      <c r="V200" s="47"/>
      <c r="W200" s="47"/>
      <c r="X200" s="47"/>
      <c r="Y200" s="47"/>
      <c r="Z200" s="1"/>
      <c r="AA200" s="1"/>
      <c r="AB200" s="1"/>
      <c r="AC200" s="1"/>
      <c r="AD200" s="1"/>
      <c r="AE200" s="1"/>
      <c r="AF200" s="1"/>
      <c r="AG200" s="1"/>
      <c r="AH200" s="1"/>
      <c r="AI200" s="1"/>
      <c r="AJ200" s="1"/>
      <c r="AK200" s="1"/>
      <c r="AL200" s="1"/>
      <c r="AM200" s="1"/>
      <c r="AN200" s="1"/>
      <c r="AO200" s="1"/>
      <c r="AP200" s="1"/>
      <c r="AQ200" s="1"/>
      <c r="AR200" s="1"/>
      <c r="AS200" s="1"/>
      <c r="AT200" s="1"/>
      <c r="AU200" s="1"/>
      <c r="AV200" s="1"/>
    </row>
    <row r="201" spans="1:48" ht="244.8" x14ac:dyDescent="0.55000000000000004">
      <c r="A201" s="48" t="s">
        <v>212</v>
      </c>
      <c r="B201" s="19" t="s">
        <v>377</v>
      </c>
      <c r="C201" s="19" t="s">
        <v>378</v>
      </c>
      <c r="D201" s="19"/>
      <c r="E201" s="19" t="s">
        <v>1330</v>
      </c>
      <c r="F201" s="115" t="s">
        <v>326</v>
      </c>
      <c r="G201" s="19"/>
      <c r="H201" s="19" t="s">
        <v>1331</v>
      </c>
      <c r="I201" s="19" t="s">
        <v>346</v>
      </c>
      <c r="J201" s="19" t="s">
        <v>1332</v>
      </c>
      <c r="K201" s="19" t="s">
        <v>45</v>
      </c>
      <c r="L201" s="48" t="s">
        <v>346</v>
      </c>
      <c r="M201" s="19" t="s">
        <v>329</v>
      </c>
      <c r="N201" s="69" t="s">
        <v>1333</v>
      </c>
      <c r="O201" s="19"/>
      <c r="P201" s="19"/>
      <c r="Q201" s="19"/>
      <c r="R201" s="19"/>
      <c r="S201" s="75">
        <v>0</v>
      </c>
      <c r="T201" s="75">
        <v>0</v>
      </c>
      <c r="U201" s="75" t="s">
        <v>1334</v>
      </c>
      <c r="V201" s="75">
        <v>0</v>
      </c>
      <c r="W201" s="19"/>
      <c r="X201" s="19"/>
      <c r="Y201" s="19"/>
      <c r="Z201" s="1"/>
      <c r="AA201" s="1"/>
      <c r="AB201" s="1"/>
      <c r="AC201" s="104">
        <v>0</v>
      </c>
      <c r="AD201" s="104">
        <v>0</v>
      </c>
      <c r="AE201" s="104" t="s">
        <v>525</v>
      </c>
      <c r="AF201" s="104">
        <v>0</v>
      </c>
      <c r="AG201" s="1"/>
      <c r="AH201" s="104">
        <v>0</v>
      </c>
      <c r="AI201" s="104">
        <v>0</v>
      </c>
      <c r="AJ201" s="104">
        <v>3</v>
      </c>
      <c r="AK201" s="104">
        <v>0</v>
      </c>
      <c r="AL201" s="1"/>
      <c r="AM201" s="104">
        <v>1</v>
      </c>
      <c r="AN201" s="104">
        <v>1</v>
      </c>
      <c r="AO201" s="104">
        <v>3</v>
      </c>
      <c r="AP201" s="104">
        <v>3</v>
      </c>
      <c r="AQ201" s="1"/>
      <c r="AR201" s="104">
        <v>0</v>
      </c>
      <c r="AS201" s="104">
        <v>0</v>
      </c>
      <c r="AT201" s="104">
        <v>3</v>
      </c>
      <c r="AU201" s="104">
        <v>0</v>
      </c>
      <c r="AV201" s="1"/>
    </row>
    <row r="202" spans="1:48" ht="158.4" x14ac:dyDescent="0.55000000000000004">
      <c r="A202" s="71" t="s">
        <v>1335</v>
      </c>
      <c r="B202" s="71" t="s">
        <v>568</v>
      </c>
      <c r="C202" s="71" t="s">
        <v>333</v>
      </c>
      <c r="D202" s="71" t="s">
        <v>1336</v>
      </c>
      <c r="E202" s="71" t="s">
        <v>1337</v>
      </c>
      <c r="F202" s="121" t="s">
        <v>326</v>
      </c>
      <c r="G202" s="71"/>
      <c r="H202" s="71" t="s">
        <v>1338</v>
      </c>
      <c r="I202" s="71" t="s">
        <v>346</v>
      </c>
      <c r="J202" s="71" t="s">
        <v>1339</v>
      </c>
      <c r="K202" s="122" t="s">
        <v>1340</v>
      </c>
      <c r="L202" s="71" t="s">
        <v>329</v>
      </c>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row>
    <row r="203" spans="1:48" ht="172.8" x14ac:dyDescent="0.55000000000000004">
      <c r="A203" s="71" t="s">
        <v>1341</v>
      </c>
      <c r="B203" s="71" t="s">
        <v>333</v>
      </c>
      <c r="C203" s="71" t="s">
        <v>333</v>
      </c>
      <c r="D203" s="71" t="s">
        <v>1342</v>
      </c>
      <c r="E203" s="71" t="s">
        <v>1343</v>
      </c>
      <c r="F203" s="121" t="s">
        <v>326</v>
      </c>
      <c r="G203" s="71"/>
      <c r="H203" s="71" t="s">
        <v>1344</v>
      </c>
      <c r="I203" s="71" t="s">
        <v>346</v>
      </c>
      <c r="J203" s="71" t="s">
        <v>1345</v>
      </c>
      <c r="K203" s="71" t="s">
        <v>1346</v>
      </c>
      <c r="L203" s="71"/>
      <c r="M203" s="71"/>
      <c r="N203" s="71" t="s">
        <v>1347</v>
      </c>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row>
    <row r="204" spans="1:48" ht="172.8" x14ac:dyDescent="0.55000000000000004">
      <c r="A204" s="48" t="s">
        <v>1348</v>
      </c>
      <c r="B204" s="47" t="s">
        <v>1007</v>
      </c>
      <c r="C204" s="85" t="s">
        <v>569</v>
      </c>
      <c r="D204" s="47" t="s">
        <v>1349</v>
      </c>
      <c r="E204" s="47" t="s">
        <v>1350</v>
      </c>
      <c r="F204" s="119" t="s">
        <v>326</v>
      </c>
      <c r="G204" s="47"/>
      <c r="H204" s="47" t="s">
        <v>1351</v>
      </c>
      <c r="I204" s="47" t="s">
        <v>346</v>
      </c>
      <c r="J204" s="47" t="s">
        <v>1352</v>
      </c>
      <c r="K204" s="47" t="s">
        <v>1353</v>
      </c>
      <c r="L204" s="47" t="s">
        <v>329</v>
      </c>
      <c r="M204" s="47"/>
      <c r="N204" s="47" t="s">
        <v>1354</v>
      </c>
      <c r="O204" s="47"/>
      <c r="P204" s="47"/>
      <c r="Q204" s="47"/>
      <c r="R204" s="47"/>
      <c r="S204" s="47"/>
      <c r="T204" s="47"/>
      <c r="U204" s="47"/>
      <c r="V204" s="47"/>
      <c r="W204" s="47"/>
      <c r="X204" s="47"/>
      <c r="Y204" s="47"/>
      <c r="Z204" s="1"/>
      <c r="AA204" s="1"/>
      <c r="AB204" s="1"/>
      <c r="AC204" s="1"/>
      <c r="AD204" s="1"/>
      <c r="AE204" s="1"/>
      <c r="AF204" s="1"/>
      <c r="AG204" s="1"/>
      <c r="AH204" s="1"/>
      <c r="AI204" s="1"/>
      <c r="AJ204" s="1"/>
      <c r="AK204" s="1"/>
      <c r="AL204" s="1"/>
      <c r="AM204" s="1"/>
      <c r="AN204" s="1"/>
      <c r="AO204" s="1"/>
      <c r="AP204" s="1"/>
      <c r="AQ204" s="1"/>
      <c r="AR204" s="1"/>
      <c r="AS204" s="1"/>
      <c r="AT204" s="1"/>
      <c r="AU204" s="1"/>
      <c r="AV204" s="1"/>
    </row>
    <row r="205" spans="1:48" ht="316.8" x14ac:dyDescent="0.55000000000000004">
      <c r="A205" s="48" t="s">
        <v>1355</v>
      </c>
      <c r="B205" s="54" t="s">
        <v>337</v>
      </c>
      <c r="C205" s="19" t="s">
        <v>814</v>
      </c>
      <c r="D205" s="19" t="s">
        <v>1356</v>
      </c>
      <c r="E205" s="19" t="s">
        <v>1356</v>
      </c>
      <c r="F205" s="115" t="s">
        <v>326</v>
      </c>
      <c r="G205" s="19"/>
      <c r="H205" s="19" t="s">
        <v>1357</v>
      </c>
      <c r="I205" s="19" t="s">
        <v>346</v>
      </c>
      <c r="J205" s="19" t="s">
        <v>1358</v>
      </c>
      <c r="K205" s="70" t="s">
        <v>1359</v>
      </c>
      <c r="L205" s="19" t="s">
        <v>329</v>
      </c>
      <c r="M205" s="19"/>
      <c r="N205" s="19" t="s">
        <v>1360</v>
      </c>
      <c r="O205" s="19"/>
      <c r="P205" s="19"/>
      <c r="Q205" s="19"/>
      <c r="R205" s="19"/>
      <c r="S205" s="19"/>
      <c r="T205" s="19"/>
      <c r="U205" s="19"/>
      <c r="V205" s="19"/>
      <c r="W205" s="19"/>
      <c r="X205" s="19"/>
      <c r="Y205" s="19"/>
      <c r="Z205" s="1"/>
      <c r="AA205" s="1"/>
      <c r="AB205" s="1"/>
      <c r="AC205" s="1"/>
      <c r="AD205" s="1"/>
      <c r="AE205" s="1"/>
      <c r="AF205" s="1"/>
      <c r="AG205" s="1"/>
      <c r="AH205" s="1"/>
      <c r="AI205" s="1"/>
      <c r="AJ205" s="1"/>
      <c r="AK205" s="1"/>
      <c r="AL205" s="1"/>
      <c r="AM205" s="1"/>
      <c r="AN205" s="1"/>
      <c r="AO205" s="1"/>
      <c r="AP205" s="1"/>
      <c r="AQ205" s="1"/>
      <c r="AR205" s="1"/>
      <c r="AS205" s="1"/>
      <c r="AT205" s="1"/>
      <c r="AU205" s="1"/>
      <c r="AV205" s="1"/>
    </row>
    <row r="206" spans="1:48" ht="144" x14ac:dyDescent="0.55000000000000004">
      <c r="A206" s="48" t="s">
        <v>1361</v>
      </c>
      <c r="B206" s="64" t="s">
        <v>337</v>
      </c>
      <c r="C206" s="47" t="s">
        <v>364</v>
      </c>
      <c r="D206" s="81" t="s">
        <v>1362</v>
      </c>
      <c r="E206" s="47" t="s">
        <v>1363</v>
      </c>
      <c r="F206" s="119" t="s">
        <v>326</v>
      </c>
      <c r="G206" s="47"/>
      <c r="H206" s="47" t="s">
        <v>1364</v>
      </c>
      <c r="I206" s="47" t="s">
        <v>346</v>
      </c>
      <c r="J206" s="47" t="s">
        <v>1365</v>
      </c>
      <c r="K206" s="47" t="s">
        <v>1366</v>
      </c>
      <c r="L206" s="47" t="s">
        <v>329</v>
      </c>
      <c r="M206" s="47"/>
      <c r="N206" s="47" t="s">
        <v>1314</v>
      </c>
      <c r="O206" s="47"/>
      <c r="P206" s="47"/>
      <c r="Q206" s="47"/>
      <c r="R206" s="47"/>
      <c r="S206" s="47"/>
      <c r="T206" s="47"/>
      <c r="U206" s="47"/>
      <c r="V206" s="47"/>
      <c r="W206" s="47"/>
      <c r="X206" s="47"/>
      <c r="Y206" s="47"/>
      <c r="Z206" s="1"/>
      <c r="AA206" s="1"/>
      <c r="AB206" s="1"/>
      <c r="AC206" s="1"/>
      <c r="AD206" s="1"/>
      <c r="AE206" s="1"/>
      <c r="AF206" s="1"/>
      <c r="AG206" s="1"/>
      <c r="AH206" s="1"/>
      <c r="AI206" s="1"/>
      <c r="AJ206" s="1"/>
      <c r="AK206" s="1"/>
      <c r="AL206" s="1"/>
      <c r="AM206" s="1"/>
      <c r="AN206" s="1"/>
      <c r="AO206" s="1"/>
      <c r="AP206" s="1"/>
      <c r="AQ206" s="1"/>
      <c r="AR206" s="1"/>
      <c r="AS206" s="1"/>
      <c r="AT206" s="1"/>
      <c r="AU206" s="1"/>
      <c r="AV206" s="1"/>
    </row>
    <row r="207" spans="1:48" ht="144" x14ac:dyDescent="0.55000000000000004">
      <c r="A207" s="48" t="s">
        <v>1367</v>
      </c>
      <c r="B207" s="19" t="s">
        <v>342</v>
      </c>
      <c r="C207" s="19" t="s">
        <v>1368</v>
      </c>
      <c r="D207" s="19" t="s">
        <v>1369</v>
      </c>
      <c r="E207" s="19" t="s">
        <v>1370</v>
      </c>
      <c r="F207" s="115" t="s">
        <v>326</v>
      </c>
      <c r="G207" s="19"/>
      <c r="H207" s="19" t="s">
        <v>1371</v>
      </c>
      <c r="I207" s="19" t="s">
        <v>346</v>
      </c>
      <c r="J207" s="19" t="s">
        <v>1372</v>
      </c>
      <c r="K207" s="19" t="s">
        <v>1373</v>
      </c>
      <c r="L207" s="19" t="s">
        <v>329</v>
      </c>
      <c r="M207" s="19"/>
      <c r="N207" s="19" t="s">
        <v>1374</v>
      </c>
      <c r="O207" s="19"/>
      <c r="P207" s="19"/>
      <c r="Q207" s="19"/>
      <c r="R207" s="19"/>
      <c r="S207" s="19"/>
      <c r="T207" s="19"/>
      <c r="U207" s="19"/>
      <c r="V207" s="19"/>
      <c r="W207" s="19"/>
      <c r="X207" s="19"/>
      <c r="Y207" s="19"/>
      <c r="Z207" s="1"/>
      <c r="AA207" s="1"/>
      <c r="AB207" s="1"/>
      <c r="AC207" s="1"/>
      <c r="AD207" s="1"/>
      <c r="AE207" s="1"/>
      <c r="AF207" s="1"/>
      <c r="AG207" s="1"/>
      <c r="AH207" s="1"/>
      <c r="AI207" s="1"/>
      <c r="AJ207" s="1"/>
      <c r="AK207" s="1"/>
      <c r="AL207" s="1"/>
      <c r="AM207" s="1"/>
      <c r="AN207" s="1"/>
      <c r="AO207" s="1"/>
      <c r="AP207" s="1"/>
      <c r="AQ207" s="1"/>
      <c r="AR207" s="1"/>
      <c r="AS207" s="1"/>
      <c r="AT207" s="1"/>
      <c r="AU207" s="1"/>
      <c r="AV207" s="1"/>
    </row>
    <row r="208" spans="1:48" ht="201.6" x14ac:dyDescent="0.55000000000000004">
      <c r="A208" s="48" t="s">
        <v>1375</v>
      </c>
      <c r="B208" s="64" t="s">
        <v>337</v>
      </c>
      <c r="C208" s="47" t="s">
        <v>814</v>
      </c>
      <c r="D208" s="47" t="s">
        <v>1376</v>
      </c>
      <c r="E208" s="47" t="s">
        <v>1377</v>
      </c>
      <c r="F208" s="119" t="s">
        <v>326</v>
      </c>
      <c r="G208" s="47"/>
      <c r="H208" s="47" t="s">
        <v>1378</v>
      </c>
      <c r="I208" s="47" t="s">
        <v>346</v>
      </c>
      <c r="J208" s="47" t="s">
        <v>1379</v>
      </c>
      <c r="K208" s="47" t="s">
        <v>1380</v>
      </c>
      <c r="L208" s="47" t="s">
        <v>329</v>
      </c>
      <c r="M208" s="47"/>
      <c r="N208" s="47" t="s">
        <v>1314</v>
      </c>
      <c r="O208" s="47"/>
      <c r="P208" s="47"/>
      <c r="Q208" s="47"/>
      <c r="R208" s="47"/>
      <c r="S208" s="47"/>
      <c r="T208" s="47"/>
      <c r="U208" s="47"/>
      <c r="V208" s="47"/>
      <c r="W208" s="47"/>
      <c r="X208" s="47"/>
      <c r="Y208" s="47"/>
      <c r="Z208" s="1"/>
      <c r="AA208" s="1"/>
      <c r="AB208" s="1"/>
      <c r="AC208" s="1"/>
      <c r="AD208" s="1"/>
      <c r="AE208" s="1"/>
      <c r="AF208" s="1"/>
      <c r="AG208" s="1"/>
      <c r="AH208" s="1"/>
      <c r="AI208" s="1"/>
      <c r="AJ208" s="1"/>
      <c r="AK208" s="1"/>
      <c r="AL208" s="1"/>
      <c r="AM208" s="1"/>
      <c r="AN208" s="1"/>
      <c r="AO208" s="1"/>
      <c r="AP208" s="1"/>
      <c r="AQ208" s="1"/>
      <c r="AR208" s="1"/>
      <c r="AS208" s="1"/>
      <c r="AT208" s="1"/>
      <c r="AU208" s="1"/>
      <c r="AV208" s="1"/>
    </row>
    <row r="209" spans="1:48" ht="100.8" x14ac:dyDescent="0.55000000000000004">
      <c r="A209" s="48" t="s">
        <v>1381</v>
      </c>
      <c r="B209" s="19" t="s">
        <v>342</v>
      </c>
      <c r="C209" s="19" t="s">
        <v>343</v>
      </c>
      <c r="D209" s="19" t="s">
        <v>489</v>
      </c>
      <c r="E209" s="19" t="s">
        <v>1382</v>
      </c>
      <c r="F209" s="115" t="s">
        <v>326</v>
      </c>
      <c r="G209" s="19"/>
      <c r="H209" s="19" t="s">
        <v>1383</v>
      </c>
      <c r="I209" s="19" t="s">
        <v>346</v>
      </c>
      <c r="J209" s="19" t="s">
        <v>1384</v>
      </c>
      <c r="K209" s="19" t="s">
        <v>1385</v>
      </c>
      <c r="L209" s="19" t="s">
        <v>329</v>
      </c>
      <c r="M209" s="19"/>
      <c r="N209" s="19" t="s">
        <v>1314</v>
      </c>
      <c r="O209" s="19"/>
      <c r="P209" s="19"/>
      <c r="Q209" s="19"/>
      <c r="R209" s="19"/>
      <c r="S209" s="19"/>
      <c r="T209" s="19"/>
      <c r="U209" s="19"/>
      <c r="V209" s="19"/>
      <c r="W209" s="19"/>
      <c r="X209" s="19"/>
      <c r="Y209" s="19"/>
      <c r="Z209" s="1"/>
      <c r="AA209" s="1"/>
      <c r="AB209" s="1"/>
      <c r="AC209" s="1"/>
      <c r="AD209" s="1"/>
      <c r="AE209" s="1"/>
      <c r="AF209" s="1"/>
      <c r="AG209" s="1"/>
      <c r="AH209" s="1"/>
      <c r="AI209" s="1"/>
      <c r="AJ209" s="1"/>
      <c r="AK209" s="1"/>
      <c r="AL209" s="1"/>
      <c r="AM209" s="1"/>
      <c r="AN209" s="1"/>
      <c r="AO209" s="1"/>
      <c r="AP209" s="1"/>
      <c r="AQ209" s="1"/>
      <c r="AR209" s="1"/>
      <c r="AS209" s="1"/>
      <c r="AT209" s="1"/>
      <c r="AU209" s="1"/>
      <c r="AV209" s="1"/>
    </row>
    <row r="210" spans="1:48" ht="172.8" x14ac:dyDescent="0.55000000000000004">
      <c r="A210" s="48" t="s">
        <v>1386</v>
      </c>
      <c r="B210" s="64" t="s">
        <v>337</v>
      </c>
      <c r="C210" s="85" t="s">
        <v>338</v>
      </c>
      <c r="D210" s="47"/>
      <c r="E210" s="47" t="s">
        <v>1387</v>
      </c>
      <c r="F210" s="119" t="s">
        <v>326</v>
      </c>
      <c r="G210" s="47"/>
      <c r="H210" s="47" t="s">
        <v>1388</v>
      </c>
      <c r="I210" s="47" t="s">
        <v>346</v>
      </c>
      <c r="J210" s="47" t="s">
        <v>1389</v>
      </c>
      <c r="K210" s="47" t="s">
        <v>1390</v>
      </c>
      <c r="L210" s="47" t="s">
        <v>329</v>
      </c>
      <c r="M210" s="47"/>
      <c r="N210" s="47" t="s">
        <v>1314</v>
      </c>
      <c r="O210" s="47"/>
      <c r="P210" s="47"/>
      <c r="Q210" s="47"/>
      <c r="R210" s="47"/>
      <c r="S210" s="47"/>
      <c r="T210" s="47"/>
      <c r="U210" s="47"/>
      <c r="V210" s="47"/>
      <c r="W210" s="47"/>
      <c r="X210" s="47"/>
      <c r="Y210" s="47"/>
      <c r="Z210" s="1"/>
      <c r="AA210" s="1"/>
      <c r="AB210" s="1"/>
      <c r="AC210" s="1"/>
      <c r="AD210" s="1"/>
      <c r="AE210" s="1"/>
      <c r="AF210" s="1"/>
      <c r="AG210" s="1"/>
      <c r="AH210" s="1"/>
      <c r="AI210" s="1"/>
      <c r="AJ210" s="1"/>
      <c r="AK210" s="1"/>
      <c r="AL210" s="1"/>
      <c r="AM210" s="1"/>
      <c r="AN210" s="1"/>
      <c r="AO210" s="1"/>
      <c r="AP210" s="1"/>
      <c r="AQ210" s="1"/>
      <c r="AR210" s="1"/>
      <c r="AS210" s="1"/>
      <c r="AT210" s="1"/>
      <c r="AU210" s="1"/>
      <c r="AV210" s="1"/>
    </row>
    <row r="211" spans="1:48" ht="144" x14ac:dyDescent="0.55000000000000004">
      <c r="A211" s="71" t="s">
        <v>1391</v>
      </c>
      <c r="B211" s="71" t="s">
        <v>322</v>
      </c>
      <c r="C211" s="71" t="s">
        <v>333</v>
      </c>
      <c r="D211" s="71" t="s">
        <v>1392</v>
      </c>
      <c r="E211" s="71" t="s">
        <v>1393</v>
      </c>
      <c r="F211" s="121" t="s">
        <v>1394</v>
      </c>
      <c r="G211" s="71"/>
      <c r="H211" s="71" t="s">
        <v>1395</v>
      </c>
      <c r="I211" s="71" t="s">
        <v>346</v>
      </c>
      <c r="J211" s="73" t="s">
        <v>1396</v>
      </c>
      <c r="K211" s="73" t="s">
        <v>1397</v>
      </c>
      <c r="L211" s="71" t="s">
        <v>329</v>
      </c>
      <c r="M211" s="71"/>
      <c r="N211" s="71" t="s">
        <v>1398</v>
      </c>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row>
    <row r="212" spans="1:48" ht="72" x14ac:dyDescent="0.55000000000000004">
      <c r="A212" s="93" t="s">
        <v>1399</v>
      </c>
      <c r="B212" s="47" t="s">
        <v>453</v>
      </c>
      <c r="C212" s="93" t="s">
        <v>735</v>
      </c>
      <c r="D212" s="93"/>
      <c r="E212" s="93" t="s">
        <v>1400</v>
      </c>
      <c r="F212" s="123" t="s">
        <v>1394</v>
      </c>
      <c r="G212" s="93"/>
      <c r="H212" s="93" t="s">
        <v>1401</v>
      </c>
      <c r="I212" s="93" t="s">
        <v>346</v>
      </c>
      <c r="J212" s="95" t="s">
        <v>1402</v>
      </c>
      <c r="K212" s="95" t="s">
        <v>1403</v>
      </c>
      <c r="L212" s="93" t="s">
        <v>329</v>
      </c>
      <c r="M212" s="93"/>
      <c r="N212" s="93"/>
      <c r="O212" s="93"/>
      <c r="P212" s="93"/>
      <c r="Q212" s="93"/>
      <c r="R212" s="93"/>
      <c r="S212" s="93"/>
      <c r="T212" s="93"/>
      <c r="U212" s="93"/>
      <c r="V212" s="93"/>
      <c r="W212" s="93"/>
      <c r="X212" s="93"/>
      <c r="Y212" s="93"/>
      <c r="Z212" s="93"/>
      <c r="AA212" s="93"/>
      <c r="AB212" s="93"/>
      <c r="AC212" s="93"/>
      <c r="AD212" s="93"/>
      <c r="AE212" s="93"/>
      <c r="AF212" s="93"/>
      <c r="AG212" s="93"/>
      <c r="AH212" s="93"/>
      <c r="AI212" s="93"/>
      <c r="AJ212" s="93"/>
      <c r="AK212" s="93"/>
      <c r="AL212" s="93"/>
      <c r="AM212" s="93"/>
      <c r="AN212" s="93"/>
      <c r="AO212" s="93"/>
      <c r="AP212" s="93"/>
      <c r="AQ212" s="93"/>
      <c r="AR212" s="93"/>
      <c r="AS212" s="93"/>
      <c r="AT212" s="93"/>
      <c r="AU212" s="93"/>
      <c r="AV212" s="93"/>
    </row>
    <row r="213" spans="1:48" ht="86.4" x14ac:dyDescent="0.55000000000000004">
      <c r="A213" s="48" t="s">
        <v>1404</v>
      </c>
      <c r="B213" s="54" t="s">
        <v>337</v>
      </c>
      <c r="C213" s="19" t="s">
        <v>814</v>
      </c>
      <c r="D213" s="19" t="s">
        <v>1405</v>
      </c>
      <c r="E213" s="19" t="s">
        <v>1406</v>
      </c>
      <c r="F213" s="115" t="s">
        <v>1394</v>
      </c>
      <c r="G213" s="19"/>
      <c r="H213" s="19" t="s">
        <v>1407</v>
      </c>
      <c r="I213" s="19" t="s">
        <v>346</v>
      </c>
      <c r="J213" s="69" t="s">
        <v>1408</v>
      </c>
      <c r="K213" s="69" t="s">
        <v>1409</v>
      </c>
      <c r="L213" s="19" t="s">
        <v>329</v>
      </c>
      <c r="M213" s="19"/>
      <c r="N213" s="19"/>
      <c r="O213" s="19"/>
      <c r="P213" s="19"/>
      <c r="Q213" s="19"/>
      <c r="R213" s="19"/>
      <c r="S213" s="19"/>
      <c r="T213" s="19"/>
      <c r="U213" s="19"/>
      <c r="V213" s="19"/>
      <c r="W213" s="19"/>
      <c r="X213" s="19"/>
      <c r="Y213" s="19"/>
      <c r="Z213" s="1"/>
      <c r="AA213" s="1"/>
      <c r="AB213" s="1"/>
      <c r="AC213" s="1"/>
      <c r="AD213" s="1"/>
      <c r="AE213" s="1"/>
      <c r="AF213" s="1"/>
      <c r="AG213" s="1"/>
      <c r="AH213" s="1"/>
      <c r="AI213" s="1"/>
      <c r="AJ213" s="1"/>
      <c r="AK213" s="1"/>
      <c r="AL213" s="1"/>
      <c r="AM213" s="1"/>
      <c r="AN213" s="1"/>
      <c r="AO213" s="1"/>
      <c r="AP213" s="1"/>
      <c r="AQ213" s="1"/>
      <c r="AR213" s="1"/>
      <c r="AS213" s="1"/>
      <c r="AT213" s="1"/>
      <c r="AU213" s="1"/>
      <c r="AV213" s="1"/>
    </row>
    <row r="214" spans="1:48" x14ac:dyDescent="0.55000000000000004">
      <c r="A214" s="87"/>
      <c r="B214" s="87"/>
      <c r="C214" s="87"/>
      <c r="D214" s="87"/>
      <c r="E214" s="87"/>
      <c r="F214" s="87"/>
      <c r="G214" s="87"/>
      <c r="H214" s="87"/>
      <c r="I214" s="87"/>
      <c r="J214" s="87"/>
      <c r="K214" s="87"/>
      <c r="L214" s="87"/>
      <c r="M214" s="87"/>
      <c r="N214" s="87"/>
      <c r="O214" s="87"/>
      <c r="P214" s="124">
        <v>0</v>
      </c>
      <c r="Q214" s="124">
        <v>0</v>
      </c>
      <c r="R214" s="124">
        <v>0</v>
      </c>
      <c r="S214" s="124">
        <v>0</v>
      </c>
      <c r="T214" s="124">
        <v>0</v>
      </c>
      <c r="U214" s="124" t="s">
        <v>1334</v>
      </c>
      <c r="V214" s="124">
        <v>0</v>
      </c>
      <c r="W214" s="124">
        <v>0</v>
      </c>
      <c r="X214" s="124">
        <v>0</v>
      </c>
      <c r="Y214" s="124">
        <v>0</v>
      </c>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row>
    <row r="215" spans="1:48" ht="43.2" x14ac:dyDescent="0.55000000000000004">
      <c r="A215" s="98" t="s">
        <v>133</v>
      </c>
      <c r="B215" s="98" t="s">
        <v>134</v>
      </c>
      <c r="C215" s="98" t="s">
        <v>306</v>
      </c>
      <c r="D215" s="19"/>
      <c r="E215" s="98" t="s">
        <v>307</v>
      </c>
      <c r="F215" s="98" t="s">
        <v>136</v>
      </c>
      <c r="G215" s="98" t="s">
        <v>308</v>
      </c>
      <c r="H215" s="98" t="s">
        <v>309</v>
      </c>
      <c r="I215" s="98" t="s">
        <v>310</v>
      </c>
      <c r="J215" s="98" t="s">
        <v>311</v>
      </c>
      <c r="K215" s="98" t="s">
        <v>57</v>
      </c>
      <c r="L215" s="98" t="s">
        <v>312</v>
      </c>
      <c r="M215" s="19" t="s">
        <v>329</v>
      </c>
      <c r="N215" s="98" t="s">
        <v>314</v>
      </c>
      <c r="O215" s="125" t="s">
        <v>315</v>
      </c>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row>
    <row r="216" spans="1:48" ht="86.4" x14ac:dyDescent="0.55000000000000004">
      <c r="A216" s="48" t="s">
        <v>1410</v>
      </c>
      <c r="B216" s="64" t="s">
        <v>337</v>
      </c>
      <c r="C216" s="85" t="s">
        <v>634</v>
      </c>
      <c r="D216" s="47"/>
      <c r="E216" s="47" t="s">
        <v>1411</v>
      </c>
      <c r="F216" s="65" t="s">
        <v>326</v>
      </c>
      <c r="G216" s="47"/>
      <c r="H216" s="47" t="s">
        <v>1412</v>
      </c>
      <c r="I216" s="47" t="s">
        <v>346</v>
      </c>
      <c r="J216" s="67" t="s">
        <v>1413</v>
      </c>
      <c r="K216" s="67" t="s">
        <v>1414</v>
      </c>
      <c r="L216" s="47" t="s">
        <v>329</v>
      </c>
      <c r="M216" s="47"/>
      <c r="N216" s="47"/>
      <c r="O216" s="47"/>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row>
    <row r="217" spans="1:48" ht="86.4" x14ac:dyDescent="0.55000000000000004">
      <c r="A217" s="93" t="s">
        <v>1415</v>
      </c>
      <c r="B217" s="54" t="s">
        <v>337</v>
      </c>
      <c r="C217" s="93" t="s">
        <v>511</v>
      </c>
      <c r="D217" s="93" t="s">
        <v>1416</v>
      </c>
      <c r="E217" s="93" t="s">
        <v>1417</v>
      </c>
      <c r="F217" s="94" t="s">
        <v>326</v>
      </c>
      <c r="G217" s="93"/>
      <c r="H217" s="93" t="s">
        <v>1418</v>
      </c>
      <c r="I217" s="93" t="s">
        <v>329</v>
      </c>
      <c r="J217" s="93" t="s">
        <v>333</v>
      </c>
      <c r="K217" s="96" t="s">
        <v>1419</v>
      </c>
      <c r="L217" s="93" t="s">
        <v>329</v>
      </c>
      <c r="M217" s="93"/>
      <c r="N217" s="93"/>
      <c r="O217" s="93"/>
      <c r="P217" s="93"/>
      <c r="Q217" s="93"/>
      <c r="R217" s="93"/>
      <c r="S217" s="93"/>
      <c r="T217" s="93"/>
      <c r="U217" s="93"/>
      <c r="V217" s="93"/>
      <c r="W217" s="93"/>
      <c r="X217" s="93"/>
      <c r="Y217" s="93"/>
      <c r="Z217" s="93"/>
      <c r="AA217" s="93"/>
      <c r="AB217" s="93"/>
      <c r="AC217" s="93"/>
      <c r="AD217" s="93"/>
      <c r="AE217" s="93"/>
      <c r="AF217" s="93"/>
      <c r="AG217" s="93"/>
      <c r="AH217" s="93"/>
      <c r="AI217" s="93"/>
      <c r="AJ217" s="93"/>
      <c r="AK217" s="93"/>
      <c r="AL217" s="93"/>
      <c r="AM217" s="93"/>
      <c r="AN217" s="93"/>
      <c r="AO217" s="93"/>
      <c r="AP217" s="93"/>
      <c r="AQ217" s="93"/>
      <c r="AR217" s="93"/>
      <c r="AS217" s="93"/>
      <c r="AT217" s="93"/>
      <c r="AU217" s="93"/>
      <c r="AV217" s="93"/>
    </row>
    <row r="218" spans="1:48" ht="172.8" x14ac:dyDescent="0.55000000000000004">
      <c r="A218" s="48" t="s">
        <v>1420</v>
      </c>
      <c r="B218" s="47" t="s">
        <v>396</v>
      </c>
      <c r="C218" s="47" t="s">
        <v>408</v>
      </c>
      <c r="D218" s="86" t="s">
        <v>1421</v>
      </c>
      <c r="E218" s="47" t="s">
        <v>1422</v>
      </c>
      <c r="F218" s="65" t="s">
        <v>326</v>
      </c>
      <c r="G218" s="47"/>
      <c r="H218" s="47" t="s">
        <v>501</v>
      </c>
      <c r="I218" s="47" t="s">
        <v>346</v>
      </c>
      <c r="J218" s="67" t="s">
        <v>1423</v>
      </c>
      <c r="K218" s="67" t="s">
        <v>1424</v>
      </c>
      <c r="L218" s="47" t="s">
        <v>329</v>
      </c>
      <c r="M218" s="47"/>
      <c r="N218" s="47"/>
      <c r="O218" s="47"/>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row>
    <row r="219" spans="1:48" ht="316.8" x14ac:dyDescent="0.55000000000000004">
      <c r="A219" s="71" t="s">
        <v>1425</v>
      </c>
      <c r="B219" s="71" t="s">
        <v>333</v>
      </c>
      <c r="C219" s="71" t="s">
        <v>333</v>
      </c>
      <c r="D219" s="88" t="s">
        <v>1426</v>
      </c>
      <c r="E219" s="71" t="s">
        <v>1427</v>
      </c>
      <c r="F219" s="72" t="s">
        <v>326</v>
      </c>
      <c r="G219" s="71"/>
      <c r="H219" s="71" t="s">
        <v>1428</v>
      </c>
      <c r="I219" s="71" t="s">
        <v>346</v>
      </c>
      <c r="J219" s="74" t="s">
        <v>1429</v>
      </c>
      <c r="K219" s="74" t="s">
        <v>1430</v>
      </c>
      <c r="L219" s="71" t="s">
        <v>329</v>
      </c>
      <c r="M219" s="71"/>
      <c r="N219" s="71"/>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c r="AR219" s="71"/>
      <c r="AS219" s="71"/>
      <c r="AT219" s="71"/>
      <c r="AU219" s="71"/>
      <c r="AV219" s="71"/>
    </row>
    <row r="220" spans="1:48" ht="129.6" x14ac:dyDescent="0.55000000000000004">
      <c r="A220" s="93" t="s">
        <v>1431</v>
      </c>
      <c r="B220" s="47" t="s">
        <v>396</v>
      </c>
      <c r="C220" s="47" t="s">
        <v>408</v>
      </c>
      <c r="D220" s="93" t="s">
        <v>1432</v>
      </c>
      <c r="E220" s="93" t="s">
        <v>1433</v>
      </c>
      <c r="F220" s="94" t="s">
        <v>326</v>
      </c>
      <c r="G220" s="93"/>
      <c r="H220" s="93" t="s">
        <v>1434</v>
      </c>
      <c r="I220" s="93" t="s">
        <v>346</v>
      </c>
      <c r="J220" s="96" t="s">
        <v>1435</v>
      </c>
      <c r="K220" s="96" t="s">
        <v>1436</v>
      </c>
      <c r="L220" s="93" t="s">
        <v>329</v>
      </c>
      <c r="M220" s="93"/>
      <c r="N220" s="93"/>
      <c r="O220" s="93"/>
      <c r="P220" s="93"/>
      <c r="Q220" s="93"/>
      <c r="R220" s="93"/>
      <c r="S220" s="93"/>
      <c r="T220" s="93"/>
      <c r="U220" s="93"/>
      <c r="V220" s="93"/>
      <c r="W220" s="93"/>
      <c r="X220" s="93"/>
      <c r="Y220" s="93"/>
      <c r="Z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row>
    <row r="221" spans="1:48" x14ac:dyDescent="0.55000000000000004">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row>
    <row r="222" spans="1:48" ht="43.2" x14ac:dyDescent="0.55000000000000004">
      <c r="A222" s="51" t="s">
        <v>133</v>
      </c>
      <c r="B222" s="51" t="s">
        <v>134</v>
      </c>
      <c r="C222" s="51" t="s">
        <v>306</v>
      </c>
      <c r="D222" s="50"/>
      <c r="E222" s="51" t="s">
        <v>307</v>
      </c>
      <c r="F222" s="51" t="s">
        <v>136</v>
      </c>
      <c r="G222" s="51" t="s">
        <v>308</v>
      </c>
      <c r="H222" s="51" t="s">
        <v>309</v>
      </c>
      <c r="I222" s="51" t="s">
        <v>310</v>
      </c>
      <c r="J222" s="51" t="s">
        <v>311</v>
      </c>
      <c r="K222" s="51" t="s">
        <v>57</v>
      </c>
      <c r="L222" s="51" t="s">
        <v>312</v>
      </c>
      <c r="M222" s="50" t="s">
        <v>329</v>
      </c>
      <c r="N222" s="51" t="s">
        <v>314</v>
      </c>
      <c r="O222" s="51" t="s">
        <v>315</v>
      </c>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row>
    <row r="223" spans="1:48" ht="100.8" x14ac:dyDescent="0.55000000000000004">
      <c r="A223" s="48" t="s">
        <v>1437</v>
      </c>
      <c r="B223" s="54" t="s">
        <v>337</v>
      </c>
      <c r="C223" s="19" t="s">
        <v>814</v>
      </c>
      <c r="D223" s="19" t="s">
        <v>1438</v>
      </c>
      <c r="E223" s="19" t="s">
        <v>1439</v>
      </c>
      <c r="F223" s="56" t="s">
        <v>326</v>
      </c>
      <c r="G223" s="19"/>
      <c r="H223" s="19" t="s">
        <v>1440</v>
      </c>
      <c r="I223" s="19" t="s">
        <v>346</v>
      </c>
      <c r="J223" s="70" t="s">
        <v>1441</v>
      </c>
      <c r="K223" s="70" t="s">
        <v>1442</v>
      </c>
      <c r="L223" s="19" t="s">
        <v>329</v>
      </c>
      <c r="M223" s="19"/>
      <c r="N223" s="19"/>
      <c r="O223" s="19"/>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row>
    <row r="224" spans="1:48" x14ac:dyDescent="0.55000000000000004">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row>
    <row r="225" spans="1:48" ht="43.2" x14ac:dyDescent="0.55000000000000004">
      <c r="A225" s="51" t="s">
        <v>133</v>
      </c>
      <c r="B225" s="51" t="s">
        <v>134</v>
      </c>
      <c r="C225" s="51" t="s">
        <v>306</v>
      </c>
      <c r="D225" s="50"/>
      <c r="E225" s="51" t="s">
        <v>307</v>
      </c>
      <c r="F225" s="51" t="s">
        <v>136</v>
      </c>
      <c r="G225" s="51" t="s">
        <v>308</v>
      </c>
      <c r="H225" s="51" t="s">
        <v>309</v>
      </c>
      <c r="I225" s="51" t="s">
        <v>310</v>
      </c>
      <c r="J225" s="51" t="s">
        <v>311</v>
      </c>
      <c r="K225" s="51" t="s">
        <v>57</v>
      </c>
      <c r="L225" s="51" t="s">
        <v>312</v>
      </c>
      <c r="M225" s="50" t="s">
        <v>329</v>
      </c>
      <c r="N225" s="51" t="s">
        <v>314</v>
      </c>
      <c r="O225" s="51" t="s">
        <v>315</v>
      </c>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row>
    <row r="226" spans="1:48" ht="115.2" x14ac:dyDescent="0.55000000000000004">
      <c r="A226" s="48" t="s">
        <v>1443</v>
      </c>
      <c r="B226" s="54" t="s">
        <v>337</v>
      </c>
      <c r="C226" s="19" t="s">
        <v>434</v>
      </c>
      <c r="D226" s="19" t="s">
        <v>1444</v>
      </c>
      <c r="E226" s="19"/>
      <c r="F226" s="19"/>
      <c r="G226" s="19"/>
      <c r="H226" s="19"/>
      <c r="I226" s="19" t="s">
        <v>346</v>
      </c>
      <c r="J226" s="70" t="s">
        <v>1445</v>
      </c>
      <c r="K226" s="70" t="s">
        <v>1446</v>
      </c>
      <c r="L226" s="19" t="s">
        <v>329</v>
      </c>
      <c r="M226" s="19"/>
      <c r="N226" s="19" t="s">
        <v>1447</v>
      </c>
      <c r="O226" s="19"/>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row>
    <row r="227" spans="1:48" ht="115.2" x14ac:dyDescent="0.55000000000000004">
      <c r="A227" s="48"/>
      <c r="B227" s="47" t="s">
        <v>342</v>
      </c>
      <c r="C227" s="47" t="s">
        <v>382</v>
      </c>
      <c r="D227" s="47" t="s">
        <v>1448</v>
      </c>
      <c r="E227" s="47"/>
      <c r="F227" s="47"/>
      <c r="G227" s="47"/>
      <c r="H227" s="47"/>
      <c r="I227" s="47" t="s">
        <v>346</v>
      </c>
      <c r="J227" s="67" t="s">
        <v>1449</v>
      </c>
      <c r="K227" s="67" t="s">
        <v>1450</v>
      </c>
      <c r="L227" s="47" t="s">
        <v>329</v>
      </c>
      <c r="M227" s="47"/>
      <c r="N227" s="47"/>
      <c r="O227" s="47"/>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row>
    <row r="228" spans="1:48" ht="115.2" x14ac:dyDescent="0.55000000000000004">
      <c r="A228" s="48" t="s">
        <v>1451</v>
      </c>
      <c r="B228" s="54" t="s">
        <v>337</v>
      </c>
      <c r="C228" s="19" t="s">
        <v>413</v>
      </c>
      <c r="D228" s="19" t="s">
        <v>1452</v>
      </c>
      <c r="E228" s="19" t="s">
        <v>1453</v>
      </c>
      <c r="F228" s="56" t="s">
        <v>326</v>
      </c>
      <c r="G228" s="19"/>
      <c r="H228" s="19" t="s">
        <v>1454</v>
      </c>
      <c r="I228" s="19" t="s">
        <v>346</v>
      </c>
      <c r="J228" s="70" t="s">
        <v>1455</v>
      </c>
      <c r="K228" s="70" t="s">
        <v>1456</v>
      </c>
      <c r="L228" s="19" t="s">
        <v>329</v>
      </c>
      <c r="M228" s="19"/>
      <c r="N228" s="19"/>
      <c r="O228" s="19"/>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row>
    <row r="229" spans="1:48" ht="201.6" x14ac:dyDescent="0.55000000000000004">
      <c r="A229" s="48"/>
      <c r="B229" s="64" t="s">
        <v>337</v>
      </c>
      <c r="C229" s="47" t="s">
        <v>511</v>
      </c>
      <c r="D229" s="47" t="s">
        <v>1457</v>
      </c>
      <c r="E229" s="47"/>
      <c r="F229" s="47"/>
      <c r="G229" s="47"/>
      <c r="H229" s="47"/>
      <c r="I229" s="47" t="s">
        <v>346</v>
      </c>
      <c r="J229" s="67" t="s">
        <v>1458</v>
      </c>
      <c r="K229" s="67" t="s">
        <v>1459</v>
      </c>
      <c r="L229" s="47" t="s">
        <v>329</v>
      </c>
      <c r="M229" s="47"/>
      <c r="N229" s="47" t="s">
        <v>1194</v>
      </c>
      <c r="O229" s="47"/>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row>
    <row r="230" spans="1:48" ht="115.2" x14ac:dyDescent="0.55000000000000004">
      <c r="A230" s="48"/>
      <c r="B230" s="54" t="s">
        <v>337</v>
      </c>
      <c r="C230" s="19" t="s">
        <v>434</v>
      </c>
      <c r="D230" s="19" t="s">
        <v>1460</v>
      </c>
      <c r="E230" s="19"/>
      <c r="F230" s="19"/>
      <c r="G230" s="19"/>
      <c r="H230" s="19"/>
      <c r="I230" s="19" t="s">
        <v>346</v>
      </c>
      <c r="J230" s="70" t="s">
        <v>1461</v>
      </c>
      <c r="K230" s="70" t="s">
        <v>1462</v>
      </c>
      <c r="L230" s="19" t="s">
        <v>329</v>
      </c>
      <c r="M230" s="19"/>
      <c r="N230" s="19"/>
      <c r="O230" s="19"/>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row>
    <row r="231" spans="1:48" ht="14.4" customHeight="1" x14ac:dyDescent="0.55000000000000004">
      <c r="A231" s="87"/>
      <c r="B231" s="87"/>
      <c r="C231" s="87"/>
      <c r="D231" s="87"/>
      <c r="E231" s="87"/>
      <c r="F231" s="87"/>
      <c r="G231" s="87"/>
      <c r="H231" s="87"/>
      <c r="I231" s="87"/>
      <c r="J231" s="87"/>
      <c r="K231" s="87"/>
      <c r="L231" s="87"/>
      <c r="M231" s="87"/>
      <c r="N231" s="87"/>
      <c r="O231" s="87"/>
      <c r="P231" s="87"/>
      <c r="Q231" s="87"/>
      <c r="R231" s="87"/>
      <c r="S231" s="137" t="s">
        <v>227</v>
      </c>
      <c r="T231" s="137"/>
      <c r="U231" s="137"/>
      <c r="V231" s="137"/>
      <c r="W231" s="137"/>
      <c r="X231" s="87"/>
      <c r="Y231" s="137" t="s">
        <v>925</v>
      </c>
      <c r="Z231" s="137"/>
      <c r="AA231" s="137"/>
      <c r="AB231" s="137"/>
      <c r="AC231" s="87"/>
      <c r="AD231" s="87"/>
      <c r="AE231" s="87"/>
      <c r="AF231" s="87"/>
      <c r="AG231" s="87"/>
      <c r="AH231" s="87"/>
      <c r="AI231" s="87"/>
      <c r="AJ231" s="87"/>
      <c r="AK231" s="87"/>
      <c r="AL231" s="87"/>
      <c r="AM231" s="87"/>
      <c r="AN231" s="87"/>
      <c r="AO231" s="87"/>
      <c r="AP231" s="87"/>
      <c r="AQ231" s="87"/>
      <c r="AR231" s="87"/>
      <c r="AS231" s="87"/>
      <c r="AT231" s="87"/>
      <c r="AU231" s="87"/>
      <c r="AV231" s="87"/>
    </row>
    <row r="232" spans="1:48" ht="57.6" x14ac:dyDescent="0.55000000000000004">
      <c r="A232" s="98" t="s">
        <v>133</v>
      </c>
      <c r="B232" s="98" t="s">
        <v>134</v>
      </c>
      <c r="C232" s="98" t="s">
        <v>306</v>
      </c>
      <c r="D232" s="19"/>
      <c r="E232" s="98" t="s">
        <v>307</v>
      </c>
      <c r="F232" s="98" t="s">
        <v>136</v>
      </c>
      <c r="G232" s="98" t="s">
        <v>308</v>
      </c>
      <c r="H232" s="98" t="s">
        <v>309</v>
      </c>
      <c r="I232" s="98" t="s">
        <v>310</v>
      </c>
      <c r="J232" s="98" t="s">
        <v>311</v>
      </c>
      <c r="K232" s="98" t="s">
        <v>57</v>
      </c>
      <c r="L232" s="98" t="s">
        <v>312</v>
      </c>
      <c r="M232" s="19" t="s">
        <v>329</v>
      </c>
      <c r="N232" s="98" t="s">
        <v>314</v>
      </c>
      <c r="O232" s="98" t="s">
        <v>315</v>
      </c>
      <c r="P232" s="126" t="s">
        <v>317</v>
      </c>
      <c r="Q232" s="126" t="s">
        <v>318</v>
      </c>
      <c r="R232" s="126" t="s">
        <v>1463</v>
      </c>
      <c r="S232" s="126" t="s">
        <v>926</v>
      </c>
      <c r="T232" s="126" t="s">
        <v>319</v>
      </c>
      <c r="U232" s="126" t="s">
        <v>320</v>
      </c>
      <c r="V232" s="126" t="s">
        <v>927</v>
      </c>
      <c r="W232" s="126" t="s">
        <v>928</v>
      </c>
      <c r="X232" s="126" t="s">
        <v>929</v>
      </c>
      <c r="Y232" s="126" t="s">
        <v>319</v>
      </c>
      <c r="Z232" s="126" t="s">
        <v>320</v>
      </c>
      <c r="AA232" s="126" t="s">
        <v>927</v>
      </c>
      <c r="AB232" s="126" t="s">
        <v>928</v>
      </c>
      <c r="AC232" s="1"/>
      <c r="AD232" s="1"/>
      <c r="AE232" s="1"/>
      <c r="AF232" s="1"/>
      <c r="AG232" s="1"/>
      <c r="AH232" s="1"/>
      <c r="AI232" s="1"/>
      <c r="AJ232" s="1"/>
      <c r="AK232" s="1"/>
      <c r="AL232" s="1"/>
      <c r="AM232" s="1"/>
      <c r="AN232" s="1"/>
      <c r="AO232" s="1"/>
      <c r="AP232" s="1"/>
      <c r="AQ232" s="1"/>
      <c r="AR232" s="1"/>
      <c r="AS232" s="1"/>
      <c r="AT232" s="1"/>
      <c r="AU232" s="1"/>
      <c r="AV232" s="1"/>
    </row>
    <row r="233" spans="1:48" ht="86.4" x14ac:dyDescent="0.55000000000000004">
      <c r="A233" s="105" t="s">
        <v>152</v>
      </c>
      <c r="B233" s="47" t="s">
        <v>377</v>
      </c>
      <c r="C233" s="47" t="s">
        <v>378</v>
      </c>
      <c r="D233" s="47"/>
      <c r="E233" s="47" t="s">
        <v>1464</v>
      </c>
      <c r="F233" s="65" t="s">
        <v>326</v>
      </c>
      <c r="G233" s="47"/>
      <c r="H233" s="47" t="s">
        <v>1465</v>
      </c>
      <c r="I233" s="47" t="s">
        <v>346</v>
      </c>
      <c r="J233" s="67" t="s">
        <v>1466</v>
      </c>
      <c r="K233" s="67" t="s">
        <v>8</v>
      </c>
      <c r="L233" s="48" t="s">
        <v>346</v>
      </c>
      <c r="M233" s="47" t="s">
        <v>329</v>
      </c>
      <c r="N233" s="47"/>
      <c r="O233" s="47"/>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row>
    <row r="234" spans="1:48" ht="100.8" x14ac:dyDescent="0.55000000000000004">
      <c r="A234" s="48" t="s">
        <v>153</v>
      </c>
      <c r="B234" s="54" t="s">
        <v>337</v>
      </c>
      <c r="C234" s="63" t="s">
        <v>511</v>
      </c>
      <c r="D234" s="19" t="s">
        <v>1467</v>
      </c>
      <c r="E234" s="19" t="s">
        <v>1468</v>
      </c>
      <c r="F234" s="56" t="s">
        <v>326</v>
      </c>
      <c r="G234" s="19"/>
      <c r="H234" s="19" t="s">
        <v>1469</v>
      </c>
      <c r="I234" s="19" t="s">
        <v>346</v>
      </c>
      <c r="J234" s="70" t="s">
        <v>1470</v>
      </c>
      <c r="K234" s="70" t="s">
        <v>9</v>
      </c>
      <c r="L234" s="48" t="s">
        <v>346</v>
      </c>
      <c r="M234" s="19" t="s">
        <v>346</v>
      </c>
      <c r="N234" s="19"/>
      <c r="O234" s="19"/>
      <c r="P234" s="1"/>
      <c r="Q234" s="1"/>
      <c r="R234" s="1"/>
      <c r="S234" s="1"/>
      <c r="T234" s="1"/>
      <c r="U234" s="1"/>
      <c r="V234" s="1"/>
      <c r="W234" s="1"/>
      <c r="X234" s="104">
        <v>1</v>
      </c>
      <c r="Y234" s="104">
        <v>0</v>
      </c>
      <c r="Z234" s="104">
        <v>3</v>
      </c>
      <c r="AA234" s="104">
        <v>3</v>
      </c>
      <c r="AB234" s="1"/>
      <c r="AC234" s="1"/>
      <c r="AD234" s="1"/>
      <c r="AE234" s="1"/>
      <c r="AF234" s="1"/>
      <c r="AG234" s="1"/>
      <c r="AH234" s="1"/>
      <c r="AI234" s="1"/>
      <c r="AJ234" s="1"/>
      <c r="AK234" s="1"/>
      <c r="AL234" s="1"/>
      <c r="AM234" s="1"/>
      <c r="AN234" s="1"/>
      <c r="AO234" s="1"/>
      <c r="AP234" s="1"/>
      <c r="AQ234" s="1"/>
      <c r="AR234" s="1"/>
      <c r="AS234" s="1"/>
      <c r="AT234" s="1"/>
      <c r="AU234" s="1"/>
      <c r="AV234" s="1"/>
    </row>
    <row r="235" spans="1:48" ht="207.6" x14ac:dyDescent="0.55000000000000004">
      <c r="A235" s="48" t="s">
        <v>1471</v>
      </c>
      <c r="B235" s="47" t="s">
        <v>396</v>
      </c>
      <c r="C235" s="47" t="s">
        <v>408</v>
      </c>
      <c r="D235" s="86" t="s">
        <v>1472</v>
      </c>
      <c r="E235" s="47"/>
      <c r="F235" s="65" t="s">
        <v>326</v>
      </c>
      <c r="G235" s="47"/>
      <c r="H235" s="47" t="s">
        <v>1473</v>
      </c>
      <c r="I235" s="47" t="s">
        <v>346</v>
      </c>
      <c r="J235" s="67" t="s">
        <v>1474</v>
      </c>
      <c r="K235" s="67" t="s">
        <v>1475</v>
      </c>
      <c r="L235" s="47" t="s">
        <v>329</v>
      </c>
      <c r="M235" s="47"/>
      <c r="N235" s="47" t="s">
        <v>1476</v>
      </c>
      <c r="O235" s="47"/>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row>
    <row r="236" spans="1:48" ht="158.4" x14ac:dyDescent="0.55000000000000004">
      <c r="A236" s="48" t="s">
        <v>156</v>
      </c>
      <c r="B236" s="54" t="s">
        <v>337</v>
      </c>
      <c r="C236" s="19" t="s">
        <v>434</v>
      </c>
      <c r="D236" s="19" t="s">
        <v>1477</v>
      </c>
      <c r="E236" s="19" t="s">
        <v>1478</v>
      </c>
      <c r="F236" s="56" t="s">
        <v>326</v>
      </c>
      <c r="G236" s="19"/>
      <c r="H236" s="19" t="s">
        <v>1479</v>
      </c>
      <c r="I236" s="19" t="s">
        <v>346</v>
      </c>
      <c r="J236" s="70" t="s">
        <v>1480</v>
      </c>
      <c r="K236" s="70" t="s">
        <v>10</v>
      </c>
      <c r="L236" s="48" t="s">
        <v>346</v>
      </c>
      <c r="M236" s="19" t="s">
        <v>329</v>
      </c>
      <c r="N236" s="19"/>
      <c r="O236" s="19"/>
      <c r="P236" s="1"/>
      <c r="Q236" s="1"/>
      <c r="R236" s="1"/>
      <c r="S236" s="104">
        <v>0</v>
      </c>
      <c r="T236" s="104">
        <v>0</v>
      </c>
      <c r="U236" s="104">
        <v>1</v>
      </c>
      <c r="V236" s="104">
        <v>0</v>
      </c>
      <c r="W236" s="1"/>
      <c r="X236" s="104">
        <v>0</v>
      </c>
      <c r="Y236" s="104">
        <v>0</v>
      </c>
      <c r="Z236" s="104" t="s">
        <v>1261</v>
      </c>
      <c r="AA236" s="104" t="s">
        <v>525</v>
      </c>
      <c r="AB236" s="1"/>
      <c r="AC236" s="1"/>
      <c r="AD236" s="1"/>
      <c r="AE236" s="1"/>
      <c r="AF236" s="1"/>
      <c r="AG236" s="1"/>
      <c r="AH236" s="104">
        <v>1</v>
      </c>
      <c r="AI236" s="104">
        <v>1</v>
      </c>
      <c r="AJ236" s="104">
        <v>1</v>
      </c>
      <c r="AK236" s="104" t="s">
        <v>621</v>
      </c>
      <c r="AL236" s="1"/>
      <c r="AM236" s="1"/>
      <c r="AN236" s="1"/>
      <c r="AO236" s="1"/>
      <c r="AP236" s="1"/>
      <c r="AQ236" s="1"/>
      <c r="AR236" s="1"/>
      <c r="AS236" s="1"/>
      <c r="AT236" s="1"/>
      <c r="AU236" s="1"/>
      <c r="AV236" s="1"/>
    </row>
    <row r="237" spans="1:48" ht="129.6" x14ac:dyDescent="0.55000000000000004">
      <c r="A237" s="48" t="s">
        <v>158</v>
      </c>
      <c r="B237" s="47" t="s">
        <v>1007</v>
      </c>
      <c r="C237" s="47" t="s">
        <v>355</v>
      </c>
      <c r="D237" s="47"/>
      <c r="E237" s="47" t="s">
        <v>1481</v>
      </c>
      <c r="F237" s="65" t="s">
        <v>326</v>
      </c>
      <c r="G237" s="47"/>
      <c r="H237" s="47" t="s">
        <v>1482</v>
      </c>
      <c r="I237" s="47" t="s">
        <v>346</v>
      </c>
      <c r="J237" s="67" t="s">
        <v>1483</v>
      </c>
      <c r="K237" s="67" t="s">
        <v>11</v>
      </c>
      <c r="L237" s="48" t="s">
        <v>346</v>
      </c>
      <c r="M237" s="47" t="s">
        <v>329</v>
      </c>
      <c r="N237" s="47"/>
      <c r="O237" s="47"/>
      <c r="P237" s="1"/>
      <c r="Q237" s="1"/>
      <c r="R237" s="1"/>
      <c r="S237" s="1"/>
      <c r="T237" s="1"/>
      <c r="U237" s="1"/>
      <c r="V237" s="1"/>
      <c r="W237" s="1"/>
      <c r="X237" s="1"/>
      <c r="Y237" s="1"/>
      <c r="Z237" s="1"/>
      <c r="AA237" s="1"/>
      <c r="AB237" s="1"/>
      <c r="AC237" s="1"/>
      <c r="AD237" s="1"/>
      <c r="AE237" s="1"/>
      <c r="AF237" s="1"/>
      <c r="AG237" s="1"/>
      <c r="AH237" s="104">
        <v>0</v>
      </c>
      <c r="AI237" s="104">
        <v>0</v>
      </c>
      <c r="AJ237" s="104" t="s">
        <v>621</v>
      </c>
      <c r="AK237" s="104" t="s">
        <v>621</v>
      </c>
      <c r="AL237" s="1"/>
      <c r="AM237" s="1"/>
      <c r="AN237" s="1"/>
      <c r="AO237" s="1"/>
      <c r="AP237" s="1"/>
      <c r="AQ237" s="1"/>
      <c r="AR237" s="1"/>
      <c r="AS237" s="1"/>
      <c r="AT237" s="1"/>
      <c r="AU237" s="1"/>
      <c r="AV237" s="1"/>
    </row>
    <row r="238" spans="1:48" ht="86.4" x14ac:dyDescent="0.55000000000000004">
      <c r="A238" s="48" t="s">
        <v>160</v>
      </c>
      <c r="B238" s="19" t="s">
        <v>342</v>
      </c>
      <c r="C238" s="19" t="s">
        <v>382</v>
      </c>
      <c r="D238" s="19"/>
      <c r="E238" s="19" t="s">
        <v>1484</v>
      </c>
      <c r="F238" s="56" t="s">
        <v>326</v>
      </c>
      <c r="G238" s="19"/>
      <c r="H238" s="19" t="s">
        <v>1485</v>
      </c>
      <c r="I238" s="19" t="s">
        <v>346</v>
      </c>
      <c r="J238" s="70" t="s">
        <v>1486</v>
      </c>
      <c r="K238" s="70" t="s">
        <v>12</v>
      </c>
      <c r="L238" s="48" t="s">
        <v>346</v>
      </c>
      <c r="M238" s="19" t="s">
        <v>329</v>
      </c>
      <c r="N238" s="19"/>
      <c r="O238" s="19"/>
      <c r="P238" s="1"/>
      <c r="Q238" s="1"/>
      <c r="R238" s="1"/>
      <c r="S238" s="104">
        <v>0</v>
      </c>
      <c r="T238" s="104">
        <v>0</v>
      </c>
      <c r="U238" s="104">
        <v>0</v>
      </c>
      <c r="V238" s="104">
        <v>0</v>
      </c>
      <c r="W238" s="1"/>
      <c r="X238" s="104">
        <v>1</v>
      </c>
      <c r="Y238" s="104">
        <v>1</v>
      </c>
      <c r="Z238" s="104">
        <v>3</v>
      </c>
      <c r="AA238" s="104">
        <v>3</v>
      </c>
      <c r="AB238" s="1"/>
      <c r="AC238" s="104">
        <v>0</v>
      </c>
      <c r="AD238" s="104">
        <v>0</v>
      </c>
      <c r="AE238" s="104">
        <v>0</v>
      </c>
      <c r="AF238" s="104">
        <v>0</v>
      </c>
      <c r="AG238" s="1"/>
      <c r="AH238" s="104">
        <v>0</v>
      </c>
      <c r="AI238" s="104">
        <v>0</v>
      </c>
      <c r="AJ238" s="104">
        <v>0</v>
      </c>
      <c r="AK238" s="104">
        <v>0</v>
      </c>
      <c r="AL238" s="1"/>
      <c r="AM238" s="104" t="s">
        <v>703</v>
      </c>
      <c r="AN238" s="104" t="s">
        <v>703</v>
      </c>
      <c r="AO238" s="104">
        <v>1</v>
      </c>
      <c r="AP238" s="104">
        <v>1</v>
      </c>
      <c r="AQ238" s="1"/>
      <c r="AR238" s="104">
        <v>0</v>
      </c>
      <c r="AS238" s="104">
        <v>0</v>
      </c>
      <c r="AT238" s="104">
        <v>0</v>
      </c>
      <c r="AU238" s="104">
        <v>0</v>
      </c>
      <c r="AV238" s="1"/>
    </row>
    <row r="239" spans="1:48" ht="115.2" x14ac:dyDescent="0.55000000000000004">
      <c r="A239" s="48" t="s">
        <v>1487</v>
      </c>
      <c r="B239" s="47" t="s">
        <v>396</v>
      </c>
      <c r="C239" s="85" t="s">
        <v>576</v>
      </c>
      <c r="D239" s="47" t="s">
        <v>1488</v>
      </c>
      <c r="E239" s="47" t="s">
        <v>1489</v>
      </c>
      <c r="F239" s="65" t="s">
        <v>326</v>
      </c>
      <c r="G239" s="47"/>
      <c r="H239" s="47" t="s">
        <v>1490</v>
      </c>
      <c r="I239" s="47" t="s">
        <v>346</v>
      </c>
      <c r="J239" s="67" t="s">
        <v>1491</v>
      </c>
      <c r="K239" s="67" t="s">
        <v>1492</v>
      </c>
      <c r="L239" s="47" t="s">
        <v>329</v>
      </c>
      <c r="M239" s="47"/>
      <c r="N239" s="47" t="s">
        <v>1493</v>
      </c>
      <c r="O239" s="47"/>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row>
    <row r="240" spans="1:48" ht="144" x14ac:dyDescent="0.55000000000000004">
      <c r="A240" s="76" t="s">
        <v>162</v>
      </c>
      <c r="B240" s="54" t="s">
        <v>337</v>
      </c>
      <c r="C240" s="76" t="s">
        <v>511</v>
      </c>
      <c r="D240" s="76" t="s">
        <v>1494</v>
      </c>
      <c r="E240" s="76" t="s">
        <v>1495</v>
      </c>
      <c r="F240" s="77" t="s">
        <v>326</v>
      </c>
      <c r="G240" s="76"/>
      <c r="H240" s="76" t="s">
        <v>1496</v>
      </c>
      <c r="I240" s="76" t="s">
        <v>346</v>
      </c>
      <c r="J240" s="78" t="s">
        <v>1497</v>
      </c>
      <c r="K240" s="78" t="s">
        <v>13</v>
      </c>
      <c r="L240" s="48" t="s">
        <v>346</v>
      </c>
      <c r="M240" s="19" t="s">
        <v>329</v>
      </c>
      <c r="N240" s="76"/>
      <c r="O240" s="76"/>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c r="AM240" s="76"/>
      <c r="AN240" s="76"/>
      <c r="AO240" s="76"/>
      <c r="AP240" s="76"/>
      <c r="AQ240" s="76"/>
      <c r="AR240" s="76"/>
      <c r="AS240" s="76"/>
      <c r="AT240" s="76"/>
      <c r="AU240" s="76"/>
      <c r="AV240" s="76"/>
    </row>
    <row r="241" spans="1:48" ht="409.5" x14ac:dyDescent="0.55000000000000004">
      <c r="A241" s="48" t="s">
        <v>163</v>
      </c>
      <c r="B241" s="47" t="s">
        <v>1007</v>
      </c>
      <c r="C241" s="47" t="s">
        <v>355</v>
      </c>
      <c r="D241" s="47"/>
      <c r="E241" s="47" t="s">
        <v>1498</v>
      </c>
      <c r="F241" s="65" t="s">
        <v>326</v>
      </c>
      <c r="G241" s="47"/>
      <c r="H241" s="47" t="s">
        <v>1499</v>
      </c>
      <c r="I241" s="47" t="s">
        <v>346</v>
      </c>
      <c r="J241" s="67" t="s">
        <v>1500</v>
      </c>
      <c r="K241" s="67" t="s">
        <v>14</v>
      </c>
      <c r="L241" s="48" t="s">
        <v>346</v>
      </c>
      <c r="M241" s="47" t="s">
        <v>346</v>
      </c>
      <c r="N241" s="47" t="s">
        <v>1501</v>
      </c>
      <c r="O241" s="47"/>
      <c r="P241" s="1"/>
      <c r="Q241" s="1"/>
      <c r="R241" s="1"/>
      <c r="S241" s="1"/>
      <c r="T241" s="1"/>
      <c r="U241" s="1"/>
      <c r="V241" s="1"/>
      <c r="W241" s="1"/>
      <c r="X241" s="1"/>
      <c r="Y241" s="1"/>
      <c r="Z241" s="1"/>
      <c r="AA241" s="1"/>
      <c r="AB241" s="1"/>
      <c r="AC241" s="104">
        <v>0</v>
      </c>
      <c r="AD241" s="104">
        <v>0</v>
      </c>
      <c r="AE241" s="104">
        <v>3</v>
      </c>
      <c r="AF241" s="104">
        <v>0</v>
      </c>
      <c r="AG241" s="1"/>
      <c r="AH241" s="104">
        <v>0</v>
      </c>
      <c r="AI241" s="104">
        <v>0</v>
      </c>
      <c r="AJ241" s="104">
        <v>3</v>
      </c>
      <c r="AK241" s="104">
        <v>0</v>
      </c>
      <c r="AL241" s="1"/>
      <c r="AM241" s="1"/>
      <c r="AN241" s="1"/>
      <c r="AO241" s="1"/>
      <c r="AP241" s="1"/>
      <c r="AQ241" s="1"/>
      <c r="AR241" s="1"/>
      <c r="AS241" s="1"/>
      <c r="AT241" s="1"/>
      <c r="AU241" s="1"/>
      <c r="AV241" s="1"/>
    </row>
    <row r="242" spans="1:48" ht="409.6" x14ac:dyDescent="0.55000000000000004">
      <c r="A242" s="48" t="s">
        <v>164</v>
      </c>
      <c r="B242" s="19" t="s">
        <v>1007</v>
      </c>
      <c r="C242" s="19" t="s">
        <v>372</v>
      </c>
      <c r="D242" s="81" t="s">
        <v>1502</v>
      </c>
      <c r="E242" s="19" t="s">
        <v>1503</v>
      </c>
      <c r="F242" s="56" t="s">
        <v>326</v>
      </c>
      <c r="G242" s="19"/>
      <c r="H242" s="19" t="s">
        <v>1504</v>
      </c>
      <c r="I242" s="19" t="s">
        <v>346</v>
      </c>
      <c r="J242" s="70" t="s">
        <v>1505</v>
      </c>
      <c r="K242" s="70" t="s">
        <v>15</v>
      </c>
      <c r="L242" s="48" t="s">
        <v>346</v>
      </c>
      <c r="M242" s="19" t="s">
        <v>329</v>
      </c>
      <c r="N242" s="19"/>
      <c r="O242" s="19"/>
      <c r="P242" s="1"/>
      <c r="Q242" s="1"/>
      <c r="R242" s="1"/>
      <c r="S242" s="104">
        <v>0</v>
      </c>
      <c r="T242" s="104">
        <v>0</v>
      </c>
      <c r="U242" s="104">
        <v>3</v>
      </c>
      <c r="V242" s="104">
        <v>1</v>
      </c>
      <c r="W242" s="1"/>
      <c r="X242" s="1"/>
      <c r="Y242" s="1"/>
      <c r="Z242" s="1"/>
      <c r="AA242" s="1"/>
      <c r="AB242" s="1"/>
      <c r="AC242" s="104">
        <v>0</v>
      </c>
      <c r="AD242" s="104">
        <v>0</v>
      </c>
      <c r="AE242" s="104">
        <v>1</v>
      </c>
      <c r="AF242" s="104" t="s">
        <v>1248</v>
      </c>
      <c r="AG242" s="1"/>
      <c r="AH242" s="104">
        <v>0</v>
      </c>
      <c r="AI242" s="104">
        <v>0</v>
      </c>
      <c r="AJ242" s="104" t="s">
        <v>525</v>
      </c>
      <c r="AK242" s="104">
        <v>1</v>
      </c>
      <c r="AL242" s="1"/>
      <c r="AM242" s="1"/>
      <c r="AN242" s="1"/>
      <c r="AO242" s="1"/>
      <c r="AP242" s="1"/>
      <c r="AQ242" s="1"/>
      <c r="AR242" s="104">
        <v>0</v>
      </c>
      <c r="AS242" s="104">
        <v>0</v>
      </c>
      <c r="AT242" s="104">
        <v>1</v>
      </c>
      <c r="AU242" s="104">
        <v>1</v>
      </c>
      <c r="AV242" s="1"/>
    </row>
    <row r="243" spans="1:48" ht="86.4" x14ac:dyDescent="0.55000000000000004">
      <c r="A243" s="48" t="s">
        <v>1506</v>
      </c>
      <c r="B243" s="47" t="s">
        <v>342</v>
      </c>
      <c r="C243" s="47" t="s">
        <v>382</v>
      </c>
      <c r="D243" s="47" t="s">
        <v>1507</v>
      </c>
      <c r="E243" s="47" t="s">
        <v>1508</v>
      </c>
      <c r="F243" s="65" t="s">
        <v>326</v>
      </c>
      <c r="G243" s="47"/>
      <c r="H243" s="47" t="s">
        <v>1509</v>
      </c>
      <c r="I243" s="47" t="s">
        <v>346</v>
      </c>
      <c r="J243" s="67" t="s">
        <v>1510</v>
      </c>
      <c r="K243" s="67" t="s">
        <v>1511</v>
      </c>
      <c r="L243" s="47" t="s">
        <v>329</v>
      </c>
      <c r="M243" s="47"/>
      <c r="N243" s="47"/>
      <c r="O243" s="47"/>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row>
    <row r="244" spans="1:48" ht="409.5" x14ac:dyDescent="0.55000000000000004">
      <c r="A244" s="48" t="s">
        <v>165</v>
      </c>
      <c r="B244" s="19" t="s">
        <v>1007</v>
      </c>
      <c r="C244" s="19" t="s">
        <v>372</v>
      </c>
      <c r="D244" s="81" t="s">
        <v>1512</v>
      </c>
      <c r="E244" s="19" t="s">
        <v>1512</v>
      </c>
      <c r="F244" s="56" t="s">
        <v>326</v>
      </c>
      <c r="G244" s="19"/>
      <c r="H244" s="19" t="s">
        <v>1513</v>
      </c>
      <c r="I244" s="19"/>
      <c r="J244" s="70" t="s">
        <v>1514</v>
      </c>
      <c r="K244" s="70" t="s">
        <v>16</v>
      </c>
      <c r="L244" s="48" t="s">
        <v>346</v>
      </c>
      <c r="M244" s="19" t="s">
        <v>329</v>
      </c>
      <c r="N244" s="19" t="s">
        <v>1515</v>
      </c>
      <c r="O244" s="19"/>
      <c r="P244" s="1"/>
      <c r="Q244" s="1"/>
      <c r="R244" s="1"/>
      <c r="S244" s="1"/>
      <c r="T244" s="1"/>
      <c r="U244" s="1"/>
      <c r="V244" s="1"/>
      <c r="W244" s="1"/>
      <c r="X244" s="1"/>
      <c r="Y244" s="1"/>
      <c r="Z244" s="1"/>
      <c r="AA244" s="1"/>
      <c r="AB244" s="1"/>
      <c r="AC244" s="104">
        <v>1</v>
      </c>
      <c r="AD244" s="104">
        <v>0</v>
      </c>
      <c r="AE244" s="104">
        <v>3</v>
      </c>
      <c r="AF244" s="104">
        <v>1.5</v>
      </c>
      <c r="AG244" s="1"/>
      <c r="AH244" s="1"/>
      <c r="AI244" s="1"/>
      <c r="AJ244" s="1"/>
      <c r="AK244" s="1"/>
      <c r="AL244" s="1"/>
      <c r="AM244" s="1"/>
      <c r="AN244" s="1"/>
      <c r="AO244" s="1"/>
      <c r="AP244" s="1"/>
      <c r="AQ244" s="1"/>
      <c r="AR244" s="104">
        <v>1</v>
      </c>
      <c r="AS244" s="104">
        <v>1</v>
      </c>
      <c r="AT244" s="104">
        <v>3</v>
      </c>
      <c r="AU244" s="104">
        <v>0</v>
      </c>
      <c r="AV244" s="1"/>
    </row>
    <row r="245" spans="1:48" ht="100.8" x14ac:dyDescent="0.55000000000000004">
      <c r="A245" s="48" t="s">
        <v>1516</v>
      </c>
      <c r="B245" s="64" t="s">
        <v>337</v>
      </c>
      <c r="C245" s="47" t="s">
        <v>364</v>
      </c>
      <c r="D245" s="47" t="s">
        <v>1517</v>
      </c>
      <c r="E245" s="47" t="s">
        <v>1518</v>
      </c>
      <c r="F245" s="65" t="s">
        <v>326</v>
      </c>
      <c r="G245" s="47"/>
      <c r="H245" s="47" t="s">
        <v>1519</v>
      </c>
      <c r="I245" s="47" t="s">
        <v>346</v>
      </c>
      <c r="J245" s="67" t="s">
        <v>1520</v>
      </c>
      <c r="K245" s="67" t="s">
        <v>1521</v>
      </c>
      <c r="L245" s="47" t="s">
        <v>329</v>
      </c>
      <c r="M245" s="47"/>
      <c r="N245" s="47" t="s">
        <v>1522</v>
      </c>
      <c r="O245" s="47"/>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row>
    <row r="246" spans="1:48" ht="409.5" x14ac:dyDescent="0.55000000000000004">
      <c r="A246" s="48" t="s">
        <v>150</v>
      </c>
      <c r="B246" s="19" t="s">
        <v>377</v>
      </c>
      <c r="C246" s="19" t="s">
        <v>378</v>
      </c>
      <c r="D246" s="19"/>
      <c r="E246" s="19" t="s">
        <v>1523</v>
      </c>
      <c r="F246" s="56" t="s">
        <v>326</v>
      </c>
      <c r="G246" s="19"/>
      <c r="H246" s="19" t="s">
        <v>1524</v>
      </c>
      <c r="I246" s="19" t="s">
        <v>346</v>
      </c>
      <c r="J246" s="70" t="s">
        <v>1525</v>
      </c>
      <c r="K246" s="70" t="s">
        <v>7</v>
      </c>
      <c r="L246" s="48" t="s">
        <v>346</v>
      </c>
      <c r="M246" s="19" t="s">
        <v>329</v>
      </c>
      <c r="N246" s="19" t="s">
        <v>1526</v>
      </c>
      <c r="O246" s="19"/>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row>
    <row r="248" spans="1:48" ht="129.6" x14ac:dyDescent="0.55000000000000004">
      <c r="A248" s="32" t="s">
        <v>205</v>
      </c>
      <c r="B248" s="32" t="s">
        <v>142</v>
      </c>
      <c r="C248" s="32" t="s">
        <v>177</v>
      </c>
      <c r="D248" s="34"/>
      <c r="E248" s="22" t="s">
        <v>1528</v>
      </c>
      <c r="F248" s="127" t="s">
        <v>326</v>
      </c>
      <c r="G248" s="34"/>
      <c r="H248" s="22" t="s">
        <v>1529</v>
      </c>
      <c r="I248" s="34" t="s">
        <v>346</v>
      </c>
      <c r="J248" s="34"/>
      <c r="K248" s="128" t="s">
        <v>40</v>
      </c>
      <c r="L248" t="s">
        <v>346</v>
      </c>
      <c r="M248" t="s">
        <v>346</v>
      </c>
    </row>
    <row r="249" spans="1:48" ht="409.5" x14ac:dyDescent="0.55000000000000004">
      <c r="A249" s="32" t="s">
        <v>206</v>
      </c>
      <c r="B249" s="32" t="s">
        <v>142</v>
      </c>
      <c r="C249" s="32" t="s">
        <v>177</v>
      </c>
      <c r="D249" s="34"/>
      <c r="E249" s="22" t="s">
        <v>1527</v>
      </c>
      <c r="F249" s="127" t="s">
        <v>326</v>
      </c>
      <c r="G249" s="34"/>
      <c r="H249" s="22" t="s">
        <v>1530</v>
      </c>
      <c r="I249" s="34" t="s">
        <v>346</v>
      </c>
      <c r="J249" s="34"/>
      <c r="K249" s="128" t="s">
        <v>41</v>
      </c>
      <c r="L249" t="s">
        <v>346</v>
      </c>
      <c r="M249" t="s">
        <v>346</v>
      </c>
    </row>
    <row r="251" spans="1:48" ht="409.5" x14ac:dyDescent="0.55000000000000004">
      <c r="A251" s="32" t="s">
        <v>220</v>
      </c>
      <c r="B251" s="32" t="s">
        <v>184</v>
      </c>
      <c r="C251" s="32" t="s">
        <v>185</v>
      </c>
      <c r="D251" s="32"/>
      <c r="E251" s="1" t="s">
        <v>1534</v>
      </c>
      <c r="F251" s="127" t="s">
        <v>326</v>
      </c>
      <c r="G251" s="1" t="s">
        <v>1533</v>
      </c>
      <c r="I251" s="34" t="s">
        <v>346</v>
      </c>
      <c r="K251" s="128" t="s">
        <v>49</v>
      </c>
      <c r="L251" t="s">
        <v>346</v>
      </c>
      <c r="M251" t="s">
        <v>346</v>
      </c>
    </row>
    <row r="252" spans="1:48" ht="409.5" x14ac:dyDescent="0.55000000000000004">
      <c r="A252" s="32" t="s">
        <v>221</v>
      </c>
      <c r="B252" s="32" t="s">
        <v>142</v>
      </c>
      <c r="C252" s="32" t="s">
        <v>159</v>
      </c>
      <c r="D252" s="32"/>
      <c r="E252" s="129" t="s">
        <v>1531</v>
      </c>
      <c r="F252" s="127" t="s">
        <v>326</v>
      </c>
      <c r="G252" s="1" t="s">
        <v>1532</v>
      </c>
      <c r="I252" s="34" t="s">
        <v>346</v>
      </c>
      <c r="K252" s="128" t="s">
        <v>50</v>
      </c>
      <c r="L252" t="s">
        <v>346</v>
      </c>
      <c r="M252" t="s">
        <v>346</v>
      </c>
    </row>
  </sheetData>
  <mergeCells count="30">
    <mergeCell ref="AR84:AV84"/>
    <mergeCell ref="S47:W47"/>
    <mergeCell ref="X47:AB47"/>
    <mergeCell ref="AC47:AG47"/>
    <mergeCell ref="AH47:AL47"/>
    <mergeCell ref="AM47:AQ47"/>
    <mergeCell ref="AR47:AV47"/>
    <mergeCell ref="S84:W84"/>
    <mergeCell ref="X84:AB84"/>
    <mergeCell ref="AC84:AG84"/>
    <mergeCell ref="AH84:AL84"/>
    <mergeCell ref="AM84:AQ84"/>
    <mergeCell ref="AR114:AV114"/>
    <mergeCell ref="S111:W111"/>
    <mergeCell ref="X111:AB111"/>
    <mergeCell ref="AC111:AG111"/>
    <mergeCell ref="AH111:AL111"/>
    <mergeCell ref="AM111:AQ111"/>
    <mergeCell ref="AR111:AV111"/>
    <mergeCell ref="S114:W114"/>
    <mergeCell ref="X114:AB114"/>
    <mergeCell ref="AC114:AG114"/>
    <mergeCell ref="AH114:AL114"/>
    <mergeCell ref="AM114:AQ114"/>
    <mergeCell ref="P123:T123"/>
    <mergeCell ref="V123:Y123"/>
    <mergeCell ref="P184:T184"/>
    <mergeCell ref="V184:Y184"/>
    <mergeCell ref="S231:W231"/>
    <mergeCell ref="Y231:AB231"/>
  </mergeCells>
  <hyperlinks>
    <hyperlink ref="K2" r:id="rId1"/>
    <hyperlink ref="K3" r:id="rId2"/>
    <hyperlink ref="K4" r:id="rId3"/>
    <hyperlink ref="J5" r:id="rId4"/>
    <hyperlink ref="K5" r:id="rId5"/>
    <hyperlink ref="K6" r:id="rId6"/>
    <hyperlink ref="K8" r:id="rId7"/>
    <hyperlink ref="K9" r:id="rId8"/>
    <hyperlink ref="K11" r:id="rId9"/>
    <hyperlink ref="K12" r:id="rId10"/>
    <hyperlink ref="K14" r:id="rId11"/>
    <hyperlink ref="K15" r:id="rId12"/>
    <hyperlink ref="K16" r:id="rId13"/>
    <hyperlink ref="K17" r:id="rId14"/>
    <hyperlink ref="K18" r:id="rId15"/>
    <hyperlink ref="K23" r:id="rId16"/>
    <hyperlink ref="J24" r:id="rId17"/>
    <hyperlink ref="K24" r:id="rId18"/>
    <hyperlink ref="K25" r:id="rId19"/>
    <hyperlink ref="K27" r:id="rId20"/>
    <hyperlink ref="K28" r:id="rId21"/>
    <hyperlink ref="K29" r:id="rId22"/>
    <hyperlink ref="K30" r:id="rId23"/>
    <hyperlink ref="J31" r:id="rId24"/>
    <hyperlink ref="K31" r:id="rId25" display="https://github.com/crewAIInc/crewAI/issues/1753"/>
    <hyperlink ref="K32" r:id="rId26"/>
    <hyperlink ref="J33" r:id="rId27"/>
    <hyperlink ref="K33" r:id="rId28"/>
    <hyperlink ref="J34" r:id="rId29"/>
    <hyperlink ref="K34" r:id="rId30"/>
    <hyperlink ref="J35" r:id="rId31"/>
    <hyperlink ref="K35" r:id="rId32"/>
    <hyperlink ref="J36" r:id="rId33"/>
    <hyperlink ref="K36" r:id="rId34"/>
    <hyperlink ref="J37" r:id="rId35"/>
    <hyperlink ref="K37" r:id="rId36"/>
    <hyperlink ref="J38" r:id="rId37"/>
    <hyperlink ref="K38" r:id="rId38"/>
    <hyperlink ref="J39" r:id="rId39"/>
    <hyperlink ref="K39" r:id="rId40"/>
    <hyperlink ref="J40" r:id="rId41"/>
    <hyperlink ref="K40" r:id="rId42"/>
    <hyperlink ref="J41" r:id="rId43"/>
    <hyperlink ref="K41" r:id="rId44"/>
    <hyperlink ref="J42" r:id="rId45"/>
    <hyperlink ref="K42" r:id="rId46"/>
    <hyperlink ref="J43" r:id="rId47"/>
    <hyperlink ref="K43" r:id="rId48"/>
    <hyperlink ref="J44" r:id="rId49"/>
    <hyperlink ref="K44" r:id="rId50"/>
    <hyperlink ref="J45" r:id="rId51"/>
    <hyperlink ref="K45" r:id="rId52"/>
    <hyperlink ref="J46" r:id="rId53"/>
    <hyperlink ref="K46" r:id="rId54"/>
    <hyperlink ref="K49" r:id="rId55"/>
    <hyperlink ref="K52" r:id="rId56"/>
    <hyperlink ref="K54" r:id="rId57"/>
    <hyperlink ref="K55" r:id="rId58"/>
    <hyperlink ref="K56" r:id="rId59"/>
    <hyperlink ref="K57" r:id="rId60"/>
    <hyperlink ref="K58" r:id="rId61"/>
    <hyperlink ref="K60" r:id="rId62"/>
    <hyperlink ref="E66" r:id="rId63" display="http://chain.py/"/>
    <hyperlink ref="J66" r:id="rId64"/>
    <hyperlink ref="K66" r:id="rId65"/>
    <hyperlink ref="J67" r:id="rId66"/>
    <hyperlink ref="K67" r:id="rId67"/>
    <hyperlink ref="J68" r:id="rId68"/>
    <hyperlink ref="K68" r:id="rId69"/>
    <hyperlink ref="J69" r:id="rId70"/>
    <hyperlink ref="K69" r:id="rId71"/>
    <hyperlink ref="J70" r:id="rId72"/>
    <hyperlink ref="K70" r:id="rId73"/>
    <hyperlink ref="J73" r:id="rId74"/>
    <hyperlink ref="K73" r:id="rId75"/>
    <hyperlink ref="J74" r:id="rId76"/>
    <hyperlink ref="K74" r:id="rId77"/>
    <hyperlink ref="J75" r:id="rId78"/>
    <hyperlink ref="K75" r:id="rId79"/>
    <hyperlink ref="J76" r:id="rId80"/>
    <hyperlink ref="K76" r:id="rId81"/>
    <hyperlink ref="J77" r:id="rId82"/>
    <hyperlink ref="K77" r:id="rId83"/>
    <hyperlink ref="J78" r:id="rId84"/>
    <hyperlink ref="K78" r:id="rId85"/>
    <hyperlink ref="J79" r:id="rId86"/>
    <hyperlink ref="K79" r:id="rId87"/>
    <hyperlink ref="J80" r:id="rId88"/>
    <hyperlink ref="K80" r:id="rId89"/>
    <hyperlink ref="J83" r:id="rId90"/>
    <hyperlink ref="K83" r:id="rId91"/>
    <hyperlink ref="J86" r:id="rId92"/>
    <hyperlink ref="K86" r:id="rId93"/>
    <hyperlink ref="J87" r:id="rId94"/>
    <hyperlink ref="K87" r:id="rId95"/>
    <hyperlink ref="J88" r:id="rId96"/>
    <hyperlink ref="K88" r:id="rId97"/>
    <hyperlink ref="H89" r:id="rId98" display="http://tavily_search.py/"/>
    <hyperlink ref="J89" r:id="rId99"/>
    <hyperlink ref="K89" r:id="rId100"/>
    <hyperlink ref="H90" r:id="rId101" display="http://llms.md/"/>
    <hyperlink ref="J90" r:id="rId102"/>
    <hyperlink ref="K90" r:id="rId103"/>
    <hyperlink ref="J91" r:id="rId104"/>
    <hyperlink ref="K91" r:id="rId105"/>
    <hyperlink ref="J92" r:id="rId106"/>
    <hyperlink ref="K92" r:id="rId107"/>
    <hyperlink ref="J93" r:id="rId108"/>
    <hyperlink ref="K93" r:id="rId109"/>
    <hyperlink ref="J94" r:id="rId110"/>
    <hyperlink ref="K94" r:id="rId111"/>
    <hyperlink ref="J95" r:id="rId112"/>
    <hyperlink ref="K95" r:id="rId113"/>
    <hyperlink ref="J96" r:id="rId114"/>
    <hyperlink ref="K96" r:id="rId115"/>
    <hyperlink ref="J97" r:id="rId116"/>
    <hyperlink ref="K97" r:id="rId117"/>
    <hyperlink ref="J98" r:id="rId118"/>
    <hyperlink ref="K98" r:id="rId119"/>
    <hyperlink ref="J99" r:id="rId120"/>
    <hyperlink ref="K99" r:id="rId121"/>
    <hyperlink ref="J100" r:id="rId122"/>
    <hyperlink ref="K100" r:id="rId123"/>
    <hyperlink ref="J101" r:id="rId124"/>
    <hyperlink ref="K101" r:id="rId125"/>
    <hyperlink ref="J102" r:id="rId126"/>
    <hyperlink ref="K102" r:id="rId127"/>
    <hyperlink ref="J105" r:id="rId128"/>
    <hyperlink ref="K105" r:id="rId129"/>
    <hyperlink ref="J106" r:id="rId130"/>
    <hyperlink ref="K106" r:id="rId131"/>
    <hyperlink ref="J107" r:id="rId132"/>
    <hyperlink ref="K107" r:id="rId133"/>
    <hyperlink ref="J108" r:id="rId134"/>
    <hyperlink ref="K108" r:id="rId135"/>
    <hyperlink ref="J109" r:id="rId136"/>
    <hyperlink ref="K109" r:id="rId137"/>
    <hyperlink ref="J110" r:id="rId138"/>
    <hyperlink ref="K110" r:id="rId139"/>
    <hyperlink ref="J113" r:id="rId140"/>
    <hyperlink ref="K113" r:id="rId141"/>
    <hyperlink ref="J116" r:id="rId142"/>
    <hyperlink ref="K116" r:id="rId143"/>
    <hyperlink ref="J117" r:id="rId144"/>
    <hyperlink ref="K117" r:id="rId145"/>
    <hyperlink ref="J118" r:id="rId146"/>
    <hyperlink ref="K118" r:id="rId147"/>
    <hyperlink ref="J119" r:id="rId148"/>
    <hyperlink ref="K119" r:id="rId149"/>
    <hyperlink ref="J120" r:id="rId150"/>
    <hyperlink ref="K120" r:id="rId151"/>
    <hyperlink ref="J121" r:id="rId152"/>
    <hyperlink ref="K121" r:id="rId153"/>
    <hyperlink ref="K122" r:id="rId154"/>
    <hyperlink ref="K125" r:id="rId155"/>
    <hyperlink ref="K126" r:id="rId156"/>
    <hyperlink ref="J127" r:id="rId157"/>
    <hyperlink ref="K127" r:id="rId158"/>
    <hyperlink ref="K128" r:id="rId159"/>
    <hyperlink ref="J129" r:id="rId160"/>
    <hyperlink ref="K133" r:id="rId161"/>
    <hyperlink ref="K134" r:id="rId162"/>
    <hyperlink ref="K140" r:id="rId163"/>
    <hyperlink ref="J141" r:id="rId164"/>
    <hyperlink ref="K141" r:id="rId165"/>
    <hyperlink ref="J144" r:id="rId166"/>
    <hyperlink ref="K144" r:id="rId167"/>
    <hyperlink ref="J147" r:id="rId168"/>
    <hyperlink ref="K147" r:id="rId169"/>
    <hyperlink ref="A148" r:id="rId170"/>
    <hyperlink ref="J148" r:id="rId171"/>
    <hyperlink ref="K148" r:id="rId172"/>
    <hyperlink ref="J149" r:id="rId173"/>
    <hyperlink ref="K149" r:id="rId174"/>
    <hyperlink ref="J150" r:id="rId175"/>
    <hyperlink ref="K150" r:id="rId176"/>
    <hyperlink ref="K151" r:id="rId177"/>
    <hyperlink ref="J152" r:id="rId178"/>
    <hyperlink ref="K152" r:id="rId179"/>
    <hyperlink ref="J155" r:id="rId180"/>
    <hyperlink ref="K155" r:id="rId181"/>
    <hyperlink ref="K160" r:id="rId182"/>
    <hyperlink ref="K165" r:id="rId183"/>
    <hyperlink ref="K166" r:id="rId184"/>
    <hyperlink ref="J167" r:id="rId185"/>
    <hyperlink ref="K167" r:id="rId186"/>
    <hyperlink ref="J168" r:id="rId187"/>
    <hyperlink ref="K168" r:id="rId188"/>
    <hyperlink ref="J169" r:id="rId189"/>
    <hyperlink ref="K169" r:id="rId190"/>
    <hyperlink ref="J170" r:id="rId191"/>
    <hyperlink ref="K170" r:id="rId192"/>
    <hyperlink ref="J171" r:id="rId193"/>
    <hyperlink ref="K171" r:id="rId194"/>
    <hyperlink ref="J172" r:id="rId195"/>
    <hyperlink ref="K172" r:id="rId196"/>
    <hyperlink ref="J173" r:id="rId197"/>
    <hyperlink ref="K173" r:id="rId198"/>
    <hyperlink ref="K174" r:id="rId199"/>
    <hyperlink ref="J175" r:id="rId200"/>
    <hyperlink ref="K175" r:id="rId201"/>
    <hyperlink ref="J176" r:id="rId202"/>
    <hyperlink ref="K176" r:id="rId203"/>
    <hyperlink ref="J177" r:id="rId204"/>
    <hyperlink ref="K177" r:id="rId205"/>
    <hyperlink ref="K178" r:id="rId206"/>
    <hyperlink ref="K179" r:id="rId207"/>
    <hyperlink ref="K180" r:id="rId208"/>
    <hyperlink ref="J181" r:id="rId209"/>
    <hyperlink ref="K181" r:id="rId210"/>
    <hyperlink ref="J182" r:id="rId211"/>
    <hyperlink ref="K182" r:id="rId212"/>
    <hyperlink ref="J183" r:id="rId213"/>
    <hyperlink ref="K183" r:id="rId214"/>
    <hyperlink ref="K200" r:id="rId215" display="https://github.com/geekan/MetaGPT/issues/1335"/>
    <hyperlink ref="K205" r:id="rId216" display="https://github.com/geekan/MetaGPT/issues/1086"/>
    <hyperlink ref="J216" r:id="rId217"/>
    <hyperlink ref="K216" r:id="rId218"/>
    <hyperlink ref="K217" r:id="rId219"/>
    <hyperlink ref="J218" r:id="rId220"/>
    <hyperlink ref="K218" r:id="rId221"/>
    <hyperlink ref="J219" r:id="rId222"/>
    <hyperlink ref="K219" r:id="rId223"/>
    <hyperlink ref="J220" r:id="rId224"/>
    <hyperlink ref="K220" r:id="rId225"/>
    <hyperlink ref="J223" r:id="rId226"/>
    <hyperlink ref="K223" r:id="rId227"/>
    <hyperlink ref="J226" r:id="rId228"/>
    <hyperlink ref="K226" r:id="rId229"/>
    <hyperlink ref="J227" r:id="rId230"/>
    <hyperlink ref="K227" r:id="rId231"/>
    <hyperlink ref="J228" r:id="rId232"/>
    <hyperlink ref="K228" r:id="rId233"/>
    <hyperlink ref="J229" r:id="rId234"/>
    <hyperlink ref="K229" r:id="rId235"/>
    <hyperlink ref="J230" r:id="rId236"/>
    <hyperlink ref="K230" r:id="rId237"/>
    <hyperlink ref="A233" r:id="rId238" display="http://read.md/"/>
    <hyperlink ref="J233" r:id="rId239"/>
    <hyperlink ref="K233" r:id="rId240"/>
    <hyperlink ref="J234" r:id="rId241"/>
    <hyperlink ref="K234" r:id="rId242"/>
    <hyperlink ref="J235" r:id="rId243"/>
    <hyperlink ref="K235" r:id="rId244"/>
    <hyperlink ref="J236" r:id="rId245"/>
    <hyperlink ref="K236" r:id="rId246"/>
    <hyperlink ref="J237" r:id="rId247"/>
    <hyperlink ref="K237" r:id="rId248"/>
    <hyperlink ref="J238" r:id="rId249"/>
    <hyperlink ref="K238" r:id="rId250"/>
    <hyperlink ref="J239" r:id="rId251"/>
    <hyperlink ref="K239" r:id="rId252"/>
    <hyperlink ref="J240" r:id="rId253"/>
    <hyperlink ref="K240" r:id="rId254"/>
    <hyperlink ref="J241" r:id="rId255"/>
    <hyperlink ref="K241" r:id="rId256"/>
    <hyperlink ref="J242" r:id="rId257"/>
    <hyperlink ref="K242" r:id="rId258"/>
    <hyperlink ref="J243" r:id="rId259"/>
    <hyperlink ref="K243" r:id="rId260"/>
    <hyperlink ref="J244" r:id="rId261"/>
    <hyperlink ref="K244" r:id="rId262"/>
    <hyperlink ref="J245" r:id="rId263"/>
    <hyperlink ref="K245" r:id="rId264"/>
    <hyperlink ref="J246" r:id="rId265"/>
    <hyperlink ref="K246" r:id="rId266"/>
    <hyperlink ref="K248" r:id="rId267"/>
    <hyperlink ref="K249" r:id="rId268"/>
    <hyperlink ref="K252" r:id="rId269"/>
    <hyperlink ref="K251" r:id="rId2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Taxonomy</vt:lpstr>
      <vt:lpstr>Statistics</vt:lpstr>
      <vt:lpstr>50 AgentIssue-Bench</vt:lpstr>
      <vt:lpstr>20 Additional AgenIssue-Bench</vt:lpstr>
      <vt:lpstr>All Issues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2025-10-19T14:05:32Z</dcterms:created>
  <dcterms:modified xsi:type="dcterms:W3CDTF">2025-10-24T05:29:38Z</dcterms:modified>
</cp:coreProperties>
</file>